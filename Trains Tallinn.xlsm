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ykhailo.yaroshenko\Desktop\Develop\1 - Python projects\Tramlines\"/>
    </mc:Choice>
  </mc:AlternateContent>
  <xr:revisionPtr revIDLastSave="0" documentId="13_ncr:1_{ACF0CF84-5728-4134-AC19-EF9A74A9B380}" xr6:coauthVersionLast="47" xr6:coauthVersionMax="47" xr10:uidLastSave="{00000000-0000-0000-0000-000000000000}"/>
  <bookViews>
    <workbookView xWindow="6564" yWindow="144" windowWidth="22164" windowHeight="12660" xr2:uid="{00000000-000D-0000-FFFF-FFFF00000000}"/>
  </bookViews>
  <sheets>
    <sheet name="Main" sheetId="3" r:id="rId1"/>
    <sheet name="Edelasuund" sheetId="1" state="hidden" r:id="rId2"/>
    <sheet name="Edelasuund2" sheetId="2" state="hidden" r:id="rId3"/>
    <sheet name="Idasuund" sheetId="4" state="hidden" r:id="rId4"/>
    <sheet name="Idasuund2" sheetId="5" state="hidden" r:id="rId5"/>
    <sheet name="Läänesuund" sheetId="6" state="hidden" r:id="rId6"/>
    <sheet name="Läänesuund2" sheetId="7" state="hidden" r:id="rId7"/>
    <sheet name="Stations" sheetId="8" state="hidden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" i="3" l="1"/>
  <c r="Q3" i="3" l="1" a="1"/>
  <c r="J23" i="3"/>
  <c r="I21" i="3"/>
  <c r="J20" i="3" s="1"/>
  <c r="I14" i="3"/>
  <c r="J12" i="3" s="1"/>
  <c r="I7" i="3"/>
  <c r="J4" i="3" s="1"/>
  <c r="U22" i="3" l="1"/>
  <c r="Q3" i="3"/>
  <c r="R26" i="3" s="1"/>
  <c r="N25" i="3"/>
  <c r="J19" i="3"/>
  <c r="J18" i="3"/>
  <c r="J13" i="3"/>
  <c r="J11" i="3"/>
  <c r="J6" i="3"/>
  <c r="J5" i="3"/>
  <c r="N18" i="3" l="1"/>
  <c r="N6" i="3"/>
  <c r="S10" i="3"/>
  <c r="S9" i="3"/>
  <c r="N5" i="3"/>
  <c r="N14" i="3"/>
  <c r="N12" i="3"/>
  <c r="N4" i="3"/>
  <c r="N22" i="3"/>
  <c r="N8" i="3"/>
  <c r="N7" i="3"/>
  <c r="N26" i="3"/>
  <c r="N15" i="3"/>
  <c r="N9" i="3"/>
  <c r="N16" i="3"/>
  <c r="N10" i="3"/>
  <c r="N20" i="3"/>
  <c r="S26" i="3"/>
  <c r="N11" i="3"/>
  <c r="N17" i="3"/>
  <c r="N21" i="3"/>
  <c r="N19" i="3"/>
  <c r="N23" i="3"/>
  <c r="S23" i="3"/>
  <c r="N13" i="3"/>
  <c r="S14" i="3"/>
  <c r="S22" i="3"/>
  <c r="U19" i="3"/>
  <c r="S6" i="3"/>
  <c r="S20" i="3"/>
  <c r="N24" i="3"/>
  <c r="U11" i="3"/>
  <c r="N3" i="3"/>
  <c r="S21" i="3"/>
  <c r="S13" i="3"/>
  <c r="U17" i="3"/>
  <c r="U25" i="3"/>
  <c r="S11" i="3"/>
  <c r="S5" i="3"/>
  <c r="U9" i="3"/>
  <c r="U15" i="3"/>
  <c r="U18" i="3"/>
  <c r="S3" i="3"/>
  <c r="U7" i="3"/>
  <c r="U10" i="3"/>
  <c r="S19" i="3"/>
  <c r="S17" i="3"/>
  <c r="S12" i="3"/>
  <c r="U16" i="3"/>
  <c r="U14" i="3"/>
  <c r="S4" i="3"/>
  <c r="U8" i="3"/>
  <c r="S15" i="3"/>
  <c r="S18" i="3"/>
  <c r="U6" i="3"/>
  <c r="S16" i="3"/>
  <c r="S8" i="3"/>
  <c r="S25" i="3"/>
  <c r="U12" i="3"/>
  <c r="U5" i="3"/>
  <c r="U20" i="3"/>
  <c r="U4" i="3"/>
  <c r="S24" i="3"/>
  <c r="S7" i="3"/>
  <c r="U13" i="3"/>
  <c r="U3" i="3"/>
  <c r="U26" i="3"/>
  <c r="U24" i="3"/>
  <c r="U23" i="3"/>
  <c r="U21" i="3"/>
  <c r="M9" i="3"/>
  <c r="M12" i="3"/>
  <c r="M13" i="3"/>
  <c r="M15" i="3"/>
  <c r="T8" i="3"/>
  <c r="T7" i="3"/>
  <c r="T6" i="3"/>
  <c r="T5" i="3"/>
  <c r="T24" i="3"/>
  <c r="T22" i="3"/>
  <c r="M20" i="3"/>
  <c r="M8" i="3"/>
  <c r="T26" i="3"/>
  <c r="M17" i="3"/>
  <c r="T3" i="3"/>
  <c r="O25" i="3"/>
  <c r="T13" i="3"/>
  <c r="T20" i="3"/>
  <c r="M26" i="3"/>
  <c r="T18" i="3"/>
  <c r="M5" i="3"/>
  <c r="M7" i="3"/>
  <c r="O9" i="3"/>
  <c r="T15" i="3"/>
  <c r="P16" i="3"/>
  <c r="R8" i="3"/>
  <c r="T19" i="3"/>
  <c r="P6" i="3"/>
  <c r="R15" i="3"/>
  <c r="P5" i="3"/>
  <c r="T21" i="3"/>
  <c r="P17" i="3"/>
  <c r="P7" i="3"/>
  <c r="O26" i="3"/>
  <c r="M6" i="3"/>
  <c r="M18" i="3"/>
  <c r="O24" i="3"/>
  <c r="M19" i="3"/>
  <c r="O14" i="3"/>
  <c r="R12" i="3"/>
  <c r="M23" i="3"/>
  <c r="R17" i="3"/>
  <c r="M21" i="3"/>
  <c r="M24" i="3"/>
  <c r="O11" i="3"/>
  <c r="R16" i="3"/>
  <c r="O6" i="3"/>
  <c r="T4" i="3"/>
  <c r="T16" i="3"/>
  <c r="T10" i="3"/>
  <c r="T11" i="3"/>
  <c r="O18" i="3"/>
  <c r="O8" i="3"/>
  <c r="R18" i="3"/>
  <c r="T25" i="3"/>
  <c r="T14" i="3"/>
  <c r="P8" i="3"/>
  <c r="P23" i="3"/>
  <c r="M14" i="3"/>
  <c r="M25" i="3"/>
  <c r="M22" i="3"/>
  <c r="M10" i="3"/>
  <c r="R25" i="3"/>
  <c r="R23" i="3"/>
  <c r="T9" i="3"/>
  <c r="T17" i="3"/>
  <c r="T23" i="3"/>
  <c r="P14" i="3"/>
  <c r="P13" i="3"/>
  <c r="P12" i="3"/>
  <c r="O17" i="3"/>
  <c r="O23" i="3"/>
  <c r="T12" i="3"/>
  <c r="P4" i="3"/>
  <c r="M3" i="3"/>
  <c r="M16" i="3"/>
  <c r="M11" i="3"/>
  <c r="R9" i="3"/>
  <c r="O20" i="3"/>
  <c r="O15" i="3"/>
  <c r="R21" i="3"/>
  <c r="R4" i="3"/>
  <c r="R10" i="3"/>
  <c r="O19" i="3"/>
  <c r="O16" i="3"/>
  <c r="O7" i="3"/>
  <c r="R13" i="3"/>
  <c r="O12" i="3"/>
  <c r="R3" i="3"/>
  <c r="R22" i="3"/>
  <c r="R5" i="3"/>
  <c r="O4" i="3"/>
  <c r="M4" i="3"/>
  <c r="R14" i="3"/>
  <c r="O21" i="3"/>
  <c r="R19" i="3"/>
  <c r="R6" i="3"/>
  <c r="O13" i="3"/>
  <c r="R11" i="3"/>
  <c r="O10" i="3"/>
  <c r="R24" i="3"/>
  <c r="R7" i="3"/>
  <c r="O22" i="3"/>
  <c r="O5" i="3"/>
  <c r="O3" i="3"/>
  <c r="R20" i="3"/>
  <c r="P10" i="3"/>
  <c r="P3" i="3"/>
  <c r="P15" i="3"/>
  <c r="P18" i="3"/>
  <c r="P19" i="3"/>
  <c r="P20" i="3"/>
  <c r="P25" i="3"/>
  <c r="P26" i="3"/>
  <c r="P21" i="3"/>
  <c r="P24" i="3"/>
  <c r="P11" i="3"/>
  <c r="P9" i="3"/>
  <c r="P22" i="3"/>
  <c r="J21" i="3"/>
  <c r="J14" i="3"/>
  <c r="J7" i="3"/>
  <c r="N27" i="3" l="1"/>
  <c r="U27" i="3"/>
  <c r="S27" i="3"/>
  <c r="L31" i="3" s="1"/>
  <c r="T27" i="3"/>
  <c r="M27" i="3"/>
  <c r="R27" i="3"/>
  <c r="L30" i="3" s="1"/>
  <c r="P27" i="3" l="1"/>
  <c r="O27" i="3"/>
  <c r="L2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<sst xmlns="http://schemas.openxmlformats.org/spreadsheetml/2006/main" count="2149" uniqueCount="776">
  <si>
    <r>
      <rPr>
        <sz val="21"/>
        <color rgb="FFFFFFFF"/>
        <rFont val="Cambria"/>
        <family val="1"/>
      </rPr>
      <t xml:space="preserve">EDELASUUNA SÕIDUPLAAN ALATES 13. DETSEMBRIST / </t>
    </r>
    <r>
      <rPr>
        <sz val="21"/>
        <color rgb="FF000000"/>
        <rFont val="Cambria"/>
        <family val="1"/>
      </rPr>
      <t xml:space="preserve">Southwestbound trains timetable from 13 December </t>
    </r>
  </si>
  <si>
    <r>
      <rPr>
        <sz val="19"/>
        <color rgb="FF000000"/>
        <rFont val="Cambria"/>
        <family val="1"/>
      </rPr>
      <t xml:space="preserve">Reisi nr </t>
    </r>
  </si>
  <si>
    <r>
      <rPr>
        <sz val="19"/>
        <color rgb="FF000000"/>
        <rFont val="Cambria"/>
        <family val="1"/>
      </rPr>
      <t xml:space="preserve">Viljandi </t>
    </r>
  </si>
  <si>
    <r>
      <rPr>
        <sz val="19"/>
        <color rgb="FF000000"/>
        <rFont val="Calibri"/>
        <family val="2"/>
      </rPr>
      <t xml:space="preserve">6:28 </t>
    </r>
  </si>
  <si>
    <r>
      <rPr>
        <sz val="19"/>
        <color rgb="FF000000"/>
        <rFont val="Calibri"/>
        <family val="2"/>
      </rPr>
      <t xml:space="preserve">11:13 </t>
    </r>
  </si>
  <si>
    <r>
      <rPr>
        <sz val="19"/>
        <color rgb="FF000000"/>
        <rFont val="Calibri"/>
        <family val="2"/>
      </rPr>
      <t xml:space="preserve">14:48 </t>
    </r>
  </si>
  <si>
    <r>
      <rPr>
        <sz val="19"/>
        <color rgb="FF000000"/>
        <rFont val="Calibri"/>
        <family val="2"/>
      </rPr>
      <t xml:space="preserve">18:17 </t>
    </r>
  </si>
  <si>
    <r>
      <rPr>
        <sz val="19"/>
        <color rgb="FF000000"/>
        <rFont val="Calibri"/>
        <family val="2"/>
      </rPr>
      <t xml:space="preserve">6:37 </t>
    </r>
  </si>
  <si>
    <r>
      <rPr>
        <sz val="19"/>
        <color rgb="FF000000"/>
        <rFont val="Calibri"/>
        <family val="2"/>
      </rPr>
      <t xml:space="preserve">- </t>
    </r>
  </si>
  <si>
    <r>
      <rPr>
        <sz val="19"/>
        <color rgb="FF000000"/>
        <rFont val="Calibri"/>
        <family val="2"/>
      </rPr>
      <t xml:space="preserve">11:22 </t>
    </r>
  </si>
  <si>
    <r>
      <rPr>
        <sz val="19"/>
        <color rgb="FF000000"/>
        <rFont val="Calibri"/>
        <family val="2"/>
      </rPr>
      <t xml:space="preserve">14:57 </t>
    </r>
  </si>
  <si>
    <r>
      <rPr>
        <sz val="19"/>
        <color rgb="FF000000"/>
        <rFont val="Calibri"/>
        <family val="2"/>
      </rPr>
      <t xml:space="preserve">18:26 </t>
    </r>
  </si>
  <si>
    <r>
      <rPr>
        <sz val="19"/>
        <color rgb="FF000000"/>
        <rFont val="Calibri"/>
        <family val="2"/>
      </rPr>
      <t xml:space="preserve">6:43 </t>
    </r>
  </si>
  <si>
    <r>
      <rPr>
        <sz val="19"/>
        <color rgb="FF000000"/>
        <rFont val="Calibri"/>
        <family val="2"/>
      </rPr>
      <t xml:space="preserve">11:28 </t>
    </r>
  </si>
  <si>
    <r>
      <rPr>
        <sz val="19"/>
        <color rgb="FF000000"/>
        <rFont val="Calibri"/>
        <family val="2"/>
      </rPr>
      <t xml:space="preserve">15:03 </t>
    </r>
  </si>
  <si>
    <r>
      <rPr>
        <sz val="19"/>
        <color rgb="FF000000"/>
        <rFont val="Calibri"/>
        <family val="2"/>
      </rPr>
      <t xml:space="preserve">18:32 </t>
    </r>
  </si>
  <si>
    <r>
      <rPr>
        <sz val="19"/>
        <color rgb="FF000000"/>
        <rFont val="Calibri"/>
        <family val="2"/>
      </rPr>
      <t xml:space="preserve">6:51 </t>
    </r>
  </si>
  <si>
    <r>
      <rPr>
        <sz val="19"/>
        <color rgb="FF000000"/>
        <rFont val="Calibri"/>
        <family val="2"/>
      </rPr>
      <t xml:space="preserve">8:57 </t>
    </r>
  </si>
  <si>
    <r>
      <rPr>
        <sz val="19"/>
        <color rgb="FF000000"/>
        <rFont val="Calibri"/>
        <family val="2"/>
      </rPr>
      <t xml:space="preserve">11:36 </t>
    </r>
  </si>
  <si>
    <r>
      <rPr>
        <sz val="19"/>
        <color rgb="FF000000"/>
        <rFont val="Calibri"/>
        <family val="2"/>
      </rPr>
      <t xml:space="preserve">15:11 </t>
    </r>
  </si>
  <si>
    <r>
      <rPr>
        <sz val="19"/>
        <color rgb="FF000000"/>
        <rFont val="Calibri"/>
        <family val="2"/>
      </rPr>
      <t xml:space="preserve">18:40 </t>
    </r>
  </si>
  <si>
    <r>
      <rPr>
        <sz val="19"/>
        <color rgb="FF000000"/>
        <rFont val="Calibri"/>
        <family val="2"/>
      </rPr>
      <t xml:space="preserve">6:55 </t>
    </r>
  </si>
  <si>
    <r>
      <rPr>
        <sz val="19"/>
        <color rgb="FF000000"/>
        <rFont val="Calibri"/>
        <family val="2"/>
      </rPr>
      <t xml:space="preserve">11:40 </t>
    </r>
  </si>
  <si>
    <r>
      <rPr>
        <sz val="19"/>
        <color rgb="FF000000"/>
        <rFont val="Calibri"/>
        <family val="2"/>
      </rPr>
      <t xml:space="preserve">15:15 </t>
    </r>
  </si>
  <si>
    <r>
      <rPr>
        <sz val="19"/>
        <color rgb="FF000000"/>
        <rFont val="Calibri"/>
        <family val="2"/>
      </rPr>
      <t xml:space="preserve">18:44 </t>
    </r>
  </si>
  <si>
    <r>
      <rPr>
        <sz val="19"/>
        <color rgb="FF000000"/>
        <rFont val="Calibri"/>
        <family val="2"/>
      </rPr>
      <t xml:space="preserve">7:00 </t>
    </r>
  </si>
  <si>
    <r>
      <rPr>
        <sz val="19"/>
        <color rgb="FF000000"/>
        <rFont val="Calibri"/>
        <family val="2"/>
      </rPr>
      <t xml:space="preserve">11:45 </t>
    </r>
  </si>
  <si>
    <r>
      <rPr>
        <sz val="19"/>
        <color rgb="FF000000"/>
        <rFont val="Calibri"/>
        <family val="2"/>
      </rPr>
      <t xml:space="preserve">15:20 </t>
    </r>
  </si>
  <si>
    <r>
      <rPr>
        <sz val="19"/>
        <color rgb="FF000000"/>
        <rFont val="Calibri"/>
        <family val="2"/>
      </rPr>
      <t xml:space="preserve">18:49 </t>
    </r>
  </si>
  <si>
    <r>
      <rPr>
        <sz val="19"/>
        <color rgb="FF000000"/>
        <rFont val="Calibri"/>
        <family val="2"/>
      </rPr>
      <t xml:space="preserve">7:04 </t>
    </r>
  </si>
  <si>
    <r>
      <rPr>
        <sz val="19"/>
        <color rgb="FF000000"/>
        <rFont val="Calibri"/>
        <family val="2"/>
      </rPr>
      <t xml:space="preserve">11:49 </t>
    </r>
  </si>
  <si>
    <r>
      <rPr>
        <sz val="19"/>
        <color rgb="FF000000"/>
        <rFont val="Calibri"/>
        <family val="2"/>
      </rPr>
      <t xml:space="preserve">15:24 </t>
    </r>
  </si>
  <si>
    <r>
      <rPr>
        <sz val="19"/>
        <color rgb="FF000000"/>
        <rFont val="Calibri"/>
        <family val="2"/>
      </rPr>
      <t xml:space="preserve">18:53 </t>
    </r>
  </si>
  <si>
    <r>
      <rPr>
        <sz val="19"/>
        <color rgb="FF000000"/>
        <rFont val="Cambria"/>
        <family val="1"/>
      </rPr>
      <t xml:space="preserve">Türi </t>
    </r>
  </si>
  <si>
    <r>
      <rPr>
        <sz val="19"/>
        <color rgb="FF000000"/>
        <rFont val="Calibri"/>
        <family val="2"/>
      </rPr>
      <t xml:space="preserve">7:10 </t>
    </r>
  </si>
  <si>
    <r>
      <rPr>
        <sz val="19"/>
        <color rgb="FF000000"/>
        <rFont val="Calibri"/>
        <family val="2"/>
      </rPr>
      <t xml:space="preserve">8:01 </t>
    </r>
  </si>
  <si>
    <r>
      <rPr>
        <sz val="19"/>
        <color rgb="FF000000"/>
        <rFont val="Calibri"/>
        <family val="2"/>
      </rPr>
      <t xml:space="preserve">9:12 </t>
    </r>
  </si>
  <si>
    <r>
      <rPr>
        <sz val="19"/>
        <color rgb="FF000000"/>
        <rFont val="Calibri"/>
        <family val="2"/>
      </rPr>
      <t xml:space="preserve">11:55 </t>
    </r>
  </si>
  <si>
    <r>
      <rPr>
        <sz val="19"/>
        <color rgb="FF000000"/>
        <rFont val="Calibri"/>
        <family val="2"/>
      </rPr>
      <t xml:space="preserve">12:27 </t>
    </r>
  </si>
  <si>
    <r>
      <rPr>
        <sz val="19"/>
        <color rgb="FF000000"/>
        <rFont val="Calibri"/>
        <family val="2"/>
      </rPr>
      <t xml:space="preserve">15:30 </t>
    </r>
  </si>
  <si>
    <r>
      <rPr>
        <sz val="19"/>
        <color rgb="FF000000"/>
        <rFont val="Calibri"/>
        <family val="2"/>
      </rPr>
      <t xml:space="preserve">19:00 </t>
    </r>
  </si>
  <si>
    <r>
      <rPr>
        <sz val="19"/>
        <color rgb="FF000000"/>
        <rFont val="Calibri"/>
        <family val="2"/>
      </rPr>
      <t xml:space="preserve">20:55 </t>
    </r>
  </si>
  <si>
    <r>
      <rPr>
        <sz val="19"/>
        <color rgb="FF000000"/>
        <rFont val="Calibri"/>
        <family val="2"/>
      </rPr>
      <t xml:space="preserve">7:21 </t>
    </r>
  </si>
  <si>
    <r>
      <rPr>
        <sz val="19"/>
        <color rgb="FF000000"/>
        <rFont val="Calibri"/>
        <family val="2"/>
      </rPr>
      <t xml:space="preserve">8:12 </t>
    </r>
  </si>
  <si>
    <r>
      <rPr>
        <sz val="19"/>
        <color rgb="FF000000"/>
        <rFont val="Calibri"/>
        <family val="2"/>
      </rPr>
      <t xml:space="preserve">12:06 </t>
    </r>
  </si>
  <si>
    <r>
      <rPr>
        <sz val="19"/>
        <color rgb="FF000000"/>
        <rFont val="Calibri"/>
        <family val="2"/>
      </rPr>
      <t xml:space="preserve">12:38 </t>
    </r>
  </si>
  <si>
    <r>
      <rPr>
        <sz val="19"/>
        <color rgb="FF000000"/>
        <rFont val="Calibri"/>
        <family val="2"/>
      </rPr>
      <t xml:space="preserve">15:41 </t>
    </r>
  </si>
  <si>
    <r>
      <rPr>
        <sz val="19"/>
        <color rgb="FF000000"/>
        <rFont val="Calibri"/>
        <family val="2"/>
      </rPr>
      <t xml:space="preserve">19:11 </t>
    </r>
  </si>
  <si>
    <r>
      <rPr>
        <sz val="19"/>
        <color rgb="FF000000"/>
        <rFont val="Calibri"/>
        <family val="2"/>
      </rPr>
      <t xml:space="preserve">21:06 </t>
    </r>
  </si>
  <si>
    <r>
      <rPr>
        <sz val="19"/>
        <color rgb="FF000000"/>
        <rFont val="Cambria"/>
        <family val="1"/>
      </rPr>
      <t xml:space="preserve">Lelle </t>
    </r>
  </si>
  <si>
    <r>
      <rPr>
        <sz val="19"/>
        <color rgb="FF000000"/>
        <rFont val="Calibri"/>
        <family val="2"/>
      </rPr>
      <t xml:space="preserve">7:29 </t>
    </r>
  </si>
  <si>
    <r>
      <rPr>
        <sz val="19"/>
        <color rgb="FF000000"/>
        <rFont val="Calibri"/>
        <family val="2"/>
      </rPr>
      <t xml:space="preserve">8:20 </t>
    </r>
  </si>
  <si>
    <r>
      <rPr>
        <sz val="19"/>
        <color rgb="FF000000"/>
        <rFont val="Calibri"/>
        <family val="2"/>
      </rPr>
      <t xml:space="preserve">12:14 </t>
    </r>
  </si>
  <si>
    <r>
      <rPr>
        <sz val="19"/>
        <color rgb="FF000000"/>
        <rFont val="Calibri"/>
        <family val="2"/>
      </rPr>
      <t xml:space="preserve">12:47 </t>
    </r>
  </si>
  <si>
    <r>
      <rPr>
        <sz val="19"/>
        <color rgb="FF000000"/>
        <rFont val="Calibri"/>
        <family val="2"/>
      </rPr>
      <t xml:space="preserve">15:50 </t>
    </r>
  </si>
  <si>
    <r>
      <rPr>
        <sz val="19"/>
        <color rgb="FF000000"/>
        <rFont val="Calibri"/>
        <family val="2"/>
      </rPr>
      <t xml:space="preserve">19:19 </t>
    </r>
  </si>
  <si>
    <r>
      <rPr>
        <sz val="19"/>
        <color rgb="FF000000"/>
        <rFont val="Calibri"/>
        <family val="2"/>
      </rPr>
      <t xml:space="preserve">21:17 </t>
    </r>
  </si>
  <si>
    <r>
      <rPr>
        <sz val="19"/>
        <color rgb="FF000000"/>
        <rFont val="Cambria"/>
        <family val="1"/>
      </rPr>
      <t xml:space="preserve">Keava </t>
    </r>
  </si>
  <si>
    <r>
      <rPr>
        <sz val="19"/>
        <color rgb="FF000000"/>
        <rFont val="Calibri"/>
        <family val="2"/>
      </rPr>
      <t xml:space="preserve">7:38 </t>
    </r>
  </si>
  <si>
    <r>
      <rPr>
        <sz val="19"/>
        <color rgb="FF000000"/>
        <rFont val="Calibri"/>
        <family val="2"/>
      </rPr>
      <t xml:space="preserve">8:29 </t>
    </r>
  </si>
  <si>
    <r>
      <rPr>
        <sz val="19"/>
        <color rgb="FF000000"/>
        <rFont val="Calibri"/>
        <family val="2"/>
      </rPr>
      <t xml:space="preserve">12:23 </t>
    </r>
  </si>
  <si>
    <r>
      <rPr>
        <sz val="19"/>
        <color rgb="FF000000"/>
        <rFont val="Calibri"/>
        <family val="2"/>
      </rPr>
      <t xml:space="preserve">12:56 </t>
    </r>
  </si>
  <si>
    <r>
      <rPr>
        <sz val="19"/>
        <color rgb="FF000000"/>
        <rFont val="Calibri"/>
        <family val="2"/>
      </rPr>
      <t xml:space="preserve">15:59 </t>
    </r>
  </si>
  <si>
    <r>
      <rPr>
        <sz val="19"/>
        <color rgb="FF000000"/>
        <rFont val="Calibri"/>
        <family val="2"/>
      </rPr>
      <t xml:space="preserve">19:28 </t>
    </r>
  </si>
  <si>
    <r>
      <rPr>
        <sz val="19"/>
        <color rgb="FF000000"/>
        <rFont val="Calibri"/>
        <family val="2"/>
      </rPr>
      <t xml:space="preserve">21:26 </t>
    </r>
  </si>
  <si>
    <r>
      <rPr>
        <sz val="19"/>
        <color rgb="FF000000"/>
        <rFont val="Cambria"/>
        <family val="1"/>
      </rPr>
      <t xml:space="preserve">Rapla </t>
    </r>
  </si>
  <si>
    <r>
      <rPr>
        <sz val="19"/>
        <color rgb="FF000000"/>
        <rFont val="Calibri"/>
        <family val="2"/>
      </rPr>
      <t xml:space="preserve">7:45 </t>
    </r>
  </si>
  <si>
    <r>
      <rPr>
        <sz val="19"/>
        <color rgb="FF000000"/>
        <rFont val="Calibri"/>
        <family val="2"/>
      </rPr>
      <t xml:space="preserve">8:37 </t>
    </r>
  </si>
  <si>
    <r>
      <rPr>
        <sz val="19"/>
        <color rgb="FF000000"/>
        <rFont val="Calibri"/>
        <family val="2"/>
      </rPr>
      <t xml:space="preserve">9:41 </t>
    </r>
  </si>
  <si>
    <r>
      <rPr>
        <sz val="19"/>
        <color rgb="FF000000"/>
        <rFont val="Calibri"/>
        <family val="2"/>
      </rPr>
      <t xml:space="preserve">10:27 </t>
    </r>
  </si>
  <si>
    <r>
      <rPr>
        <sz val="19"/>
        <color rgb="FF000000"/>
        <rFont val="Calibri"/>
        <family val="2"/>
      </rPr>
      <t xml:space="preserve">12:31 </t>
    </r>
  </si>
  <si>
    <r>
      <rPr>
        <sz val="19"/>
        <color rgb="FF000000"/>
        <rFont val="Calibri"/>
        <family val="2"/>
      </rPr>
      <t xml:space="preserve">13:03 </t>
    </r>
  </si>
  <si>
    <r>
      <rPr>
        <sz val="19"/>
        <color rgb="FF000000"/>
        <rFont val="Calibri"/>
        <family val="2"/>
      </rPr>
      <t xml:space="preserve">14:09 </t>
    </r>
  </si>
  <si>
    <r>
      <rPr>
        <sz val="19"/>
        <color rgb="FF000000"/>
        <rFont val="Calibri"/>
        <family val="2"/>
      </rPr>
      <t xml:space="preserve">14:59 </t>
    </r>
  </si>
  <si>
    <r>
      <rPr>
        <sz val="19"/>
        <color rgb="FF000000"/>
        <rFont val="Calibri"/>
        <family val="2"/>
      </rPr>
      <t xml:space="preserve">16:06 </t>
    </r>
  </si>
  <si>
    <r>
      <rPr>
        <sz val="19"/>
        <color rgb="FF000000"/>
        <rFont val="Calibri"/>
        <family val="2"/>
      </rPr>
      <t xml:space="preserve">17:32 </t>
    </r>
  </si>
  <si>
    <r>
      <rPr>
        <sz val="19"/>
        <color rgb="FF000000"/>
        <rFont val="Calibri"/>
        <family val="2"/>
      </rPr>
      <t xml:space="preserve">18:38 </t>
    </r>
  </si>
  <si>
    <r>
      <rPr>
        <sz val="19"/>
        <color rgb="FF000000"/>
        <rFont val="Calibri"/>
        <family val="2"/>
      </rPr>
      <t xml:space="preserve">19:35 </t>
    </r>
  </si>
  <si>
    <r>
      <rPr>
        <sz val="19"/>
        <color rgb="FF000000"/>
        <rFont val="Calibri"/>
        <family val="2"/>
      </rPr>
      <t xml:space="preserve">21:33 </t>
    </r>
  </si>
  <si>
    <r>
      <rPr>
        <sz val="19"/>
        <color rgb="FF000000"/>
        <rFont val="Cambria"/>
        <family val="1"/>
      </rPr>
      <t xml:space="preserve">Hagudi </t>
    </r>
  </si>
  <si>
    <r>
      <rPr>
        <sz val="19"/>
        <color rgb="FF000000"/>
        <rFont val="Calibri"/>
        <family val="2"/>
      </rPr>
      <t xml:space="preserve">5:54 </t>
    </r>
  </si>
  <si>
    <r>
      <rPr>
        <sz val="19"/>
        <color rgb="FF000000"/>
        <rFont val="Calibri"/>
        <family val="2"/>
      </rPr>
      <t xml:space="preserve">8:08 </t>
    </r>
  </si>
  <si>
    <r>
      <rPr>
        <sz val="19"/>
        <color rgb="FF000000"/>
        <rFont val="Calibri"/>
        <family val="2"/>
      </rPr>
      <t xml:space="preserve">8:44 </t>
    </r>
  </si>
  <si>
    <r>
      <rPr>
        <sz val="19"/>
        <color rgb="FF000000"/>
        <rFont val="Calibri"/>
        <family val="2"/>
      </rPr>
      <t xml:space="preserve">10:34 </t>
    </r>
  </si>
  <si>
    <r>
      <rPr>
        <sz val="19"/>
        <color rgb="FF000000"/>
        <rFont val="Calibri"/>
        <family val="2"/>
      </rPr>
      <t xml:space="preserve">13:10 </t>
    </r>
  </si>
  <si>
    <r>
      <rPr>
        <sz val="19"/>
        <color rgb="FF000000"/>
        <rFont val="Calibri"/>
        <family val="2"/>
      </rPr>
      <t xml:space="preserve">14:16 </t>
    </r>
  </si>
  <si>
    <r>
      <rPr>
        <sz val="19"/>
        <color rgb="FF000000"/>
        <rFont val="Calibri"/>
        <family val="2"/>
      </rPr>
      <t xml:space="preserve">15:06 </t>
    </r>
  </si>
  <si>
    <r>
      <rPr>
        <sz val="19"/>
        <color rgb="FF000000"/>
        <rFont val="Calibri"/>
        <family val="2"/>
      </rPr>
      <t xml:space="preserve">17:39 </t>
    </r>
  </si>
  <si>
    <r>
      <rPr>
        <sz val="19"/>
        <color rgb="FF000000"/>
        <rFont val="Calibri"/>
        <family val="2"/>
      </rPr>
      <t xml:space="preserve">18:45 </t>
    </r>
  </si>
  <si>
    <r>
      <rPr>
        <sz val="19"/>
        <color rgb="FF000000"/>
        <rFont val="Calibri"/>
        <family val="2"/>
      </rPr>
      <t xml:space="preserve">21:40 </t>
    </r>
  </si>
  <si>
    <r>
      <rPr>
        <sz val="19"/>
        <color rgb="FF000000"/>
        <rFont val="Cambria"/>
        <family val="1"/>
      </rPr>
      <t xml:space="preserve">Lohu </t>
    </r>
  </si>
  <si>
    <r>
      <rPr>
        <sz val="19"/>
        <color rgb="FF000000"/>
        <rFont val="Calibri"/>
        <family val="2"/>
      </rPr>
      <t xml:space="preserve">5:59 </t>
    </r>
  </si>
  <si>
    <r>
      <rPr>
        <sz val="19"/>
        <color rgb="FF000000"/>
        <rFont val="Calibri"/>
        <family val="2"/>
      </rPr>
      <t xml:space="preserve">8:13 </t>
    </r>
  </si>
  <si>
    <r>
      <rPr>
        <sz val="19"/>
        <color rgb="FF000000"/>
        <rFont val="Calibri"/>
        <family val="2"/>
      </rPr>
      <t xml:space="preserve">8:49 </t>
    </r>
  </si>
  <si>
    <r>
      <rPr>
        <sz val="19"/>
        <color rgb="FF000000"/>
        <rFont val="Calibri"/>
        <family val="2"/>
      </rPr>
      <t xml:space="preserve">10:39 </t>
    </r>
  </si>
  <si>
    <r>
      <rPr>
        <sz val="19"/>
        <color rgb="FF000000"/>
        <rFont val="Calibri"/>
        <family val="2"/>
      </rPr>
      <t xml:space="preserve">13:15 </t>
    </r>
  </si>
  <si>
    <r>
      <rPr>
        <sz val="19"/>
        <color rgb="FF000000"/>
        <rFont val="Calibri"/>
        <family val="2"/>
      </rPr>
      <t xml:space="preserve">14:21 </t>
    </r>
  </si>
  <si>
    <r>
      <rPr>
        <sz val="19"/>
        <color rgb="FF000000"/>
        <rFont val="Calibri"/>
        <family val="2"/>
      </rPr>
      <t xml:space="preserve">17:44 </t>
    </r>
  </si>
  <si>
    <r>
      <rPr>
        <sz val="19"/>
        <color rgb="FF000000"/>
        <rFont val="Calibri"/>
        <family val="2"/>
      </rPr>
      <t xml:space="preserve">18:50 </t>
    </r>
  </si>
  <si>
    <r>
      <rPr>
        <sz val="19"/>
        <color rgb="FF000000"/>
        <rFont val="Calibri"/>
        <family val="2"/>
      </rPr>
      <t xml:space="preserve">21:45 </t>
    </r>
  </si>
  <si>
    <r>
      <rPr>
        <sz val="19"/>
        <color rgb="FF000000"/>
        <rFont val="Cambria"/>
        <family val="1"/>
      </rPr>
      <t xml:space="preserve">Kohila </t>
    </r>
  </si>
  <si>
    <r>
      <rPr>
        <sz val="19"/>
        <color rgb="FF000000"/>
        <rFont val="Calibri"/>
        <family val="2"/>
      </rPr>
      <t xml:space="preserve">6:05 </t>
    </r>
  </si>
  <si>
    <r>
      <rPr>
        <sz val="19"/>
        <color rgb="FF000000"/>
        <rFont val="Calibri"/>
        <family val="2"/>
      </rPr>
      <t xml:space="preserve">8:55 </t>
    </r>
  </si>
  <si>
    <r>
      <rPr>
        <sz val="19"/>
        <color rgb="FF000000"/>
        <rFont val="Calibri"/>
        <family val="2"/>
      </rPr>
      <t xml:space="preserve">9:57 </t>
    </r>
  </si>
  <si>
    <r>
      <rPr>
        <sz val="19"/>
        <color rgb="FF000000"/>
        <rFont val="Calibri"/>
        <family val="2"/>
      </rPr>
      <t xml:space="preserve">10:45 </t>
    </r>
  </si>
  <si>
    <r>
      <rPr>
        <sz val="19"/>
        <color rgb="FF000000"/>
        <rFont val="Calibri"/>
        <family val="2"/>
      </rPr>
      <t xml:space="preserve">13:21 </t>
    </r>
  </si>
  <si>
    <r>
      <rPr>
        <sz val="19"/>
        <color rgb="FF000000"/>
        <rFont val="Calibri"/>
        <family val="2"/>
      </rPr>
      <t xml:space="preserve">14:28 </t>
    </r>
  </si>
  <si>
    <r>
      <rPr>
        <sz val="19"/>
        <color rgb="FF000000"/>
        <rFont val="Calibri"/>
        <family val="2"/>
      </rPr>
      <t xml:space="preserve">15:17 </t>
    </r>
  </si>
  <si>
    <r>
      <rPr>
        <sz val="19"/>
        <color rgb="FF000000"/>
        <rFont val="Calibri"/>
        <family val="2"/>
      </rPr>
      <t xml:space="preserve">16:23 </t>
    </r>
  </si>
  <si>
    <r>
      <rPr>
        <sz val="19"/>
        <color rgb="FF000000"/>
        <rFont val="Calibri"/>
        <family val="2"/>
      </rPr>
      <t xml:space="preserve">17:51 </t>
    </r>
  </si>
  <si>
    <r>
      <rPr>
        <sz val="19"/>
        <color rgb="FF000000"/>
        <rFont val="Calibri"/>
        <family val="2"/>
      </rPr>
      <t xml:space="preserve">18:57 </t>
    </r>
  </si>
  <si>
    <r>
      <rPr>
        <sz val="19"/>
        <color rgb="FF000000"/>
        <rFont val="Calibri"/>
        <family val="2"/>
      </rPr>
      <t xml:space="preserve">19:53 </t>
    </r>
  </si>
  <si>
    <r>
      <rPr>
        <sz val="19"/>
        <color rgb="FF000000"/>
        <rFont val="Calibri"/>
        <family val="2"/>
      </rPr>
      <t xml:space="preserve">21:52 </t>
    </r>
  </si>
  <si>
    <r>
      <rPr>
        <sz val="19"/>
        <color rgb="FF000000"/>
        <rFont val="Cambria"/>
        <family val="1"/>
      </rPr>
      <t xml:space="preserve">Vilivere </t>
    </r>
  </si>
  <si>
    <r>
      <rPr>
        <sz val="19"/>
        <color rgb="FF000000"/>
        <rFont val="Calibri"/>
        <family val="2"/>
      </rPr>
      <t xml:space="preserve">6:08 </t>
    </r>
  </si>
  <si>
    <r>
      <rPr>
        <sz val="19"/>
        <color rgb="FF000000"/>
        <rFont val="Calibri"/>
        <family val="2"/>
      </rPr>
      <t xml:space="preserve">8:23 </t>
    </r>
  </si>
  <si>
    <r>
      <rPr>
        <sz val="19"/>
        <color rgb="FF000000"/>
        <rFont val="Calibri"/>
        <family val="2"/>
      </rPr>
      <t xml:space="preserve">8:58 </t>
    </r>
  </si>
  <si>
    <r>
      <rPr>
        <sz val="19"/>
        <color rgb="FF000000"/>
        <rFont val="Calibri"/>
        <family val="2"/>
      </rPr>
      <t xml:space="preserve">10:48 </t>
    </r>
  </si>
  <si>
    <r>
      <rPr>
        <sz val="19"/>
        <color rgb="FF000000"/>
        <rFont val="Calibri"/>
        <family val="2"/>
      </rPr>
      <t xml:space="preserve">13:24 </t>
    </r>
  </si>
  <si>
    <r>
      <rPr>
        <sz val="19"/>
        <color rgb="FF000000"/>
        <rFont val="Calibri"/>
        <family val="2"/>
      </rPr>
      <t xml:space="preserve">14:31 </t>
    </r>
  </si>
  <si>
    <r>
      <rPr>
        <sz val="19"/>
        <color rgb="FF000000"/>
        <rFont val="Calibri"/>
        <family val="2"/>
      </rPr>
      <t xml:space="preserve">17:54 </t>
    </r>
  </si>
  <si>
    <r>
      <rPr>
        <sz val="19"/>
        <color rgb="FF000000"/>
        <rFont val="Calibri"/>
        <family val="2"/>
      </rPr>
      <t xml:space="preserve">21:55 </t>
    </r>
  </si>
  <si>
    <r>
      <rPr>
        <sz val="19"/>
        <color rgb="FF000000"/>
        <rFont val="Cambria"/>
        <family val="1"/>
      </rPr>
      <t xml:space="preserve">Roobuka </t>
    </r>
  </si>
  <si>
    <r>
      <rPr>
        <sz val="19"/>
        <color rgb="FF000000"/>
        <rFont val="Calibri"/>
        <family val="2"/>
      </rPr>
      <t xml:space="preserve">6:11 </t>
    </r>
  </si>
  <si>
    <r>
      <rPr>
        <sz val="19"/>
        <color rgb="FF000000"/>
        <rFont val="Calibri"/>
        <family val="2"/>
      </rPr>
      <t xml:space="preserve">8:26 </t>
    </r>
  </si>
  <si>
    <r>
      <rPr>
        <sz val="19"/>
        <color rgb="FF000000"/>
        <rFont val="Calibri"/>
        <family val="2"/>
      </rPr>
      <t xml:space="preserve">9:01 </t>
    </r>
  </si>
  <si>
    <r>
      <rPr>
        <sz val="19"/>
        <color rgb="FF000000"/>
        <rFont val="Calibri"/>
        <family val="2"/>
      </rPr>
      <t xml:space="preserve">10:51 </t>
    </r>
  </si>
  <si>
    <r>
      <rPr>
        <sz val="19"/>
        <color rgb="FF000000"/>
        <rFont val="Calibri"/>
        <family val="2"/>
      </rPr>
      <t xml:space="preserve">13:27 </t>
    </r>
  </si>
  <si>
    <r>
      <rPr>
        <sz val="19"/>
        <color rgb="FF000000"/>
        <rFont val="Calibri"/>
        <family val="2"/>
      </rPr>
      <t xml:space="preserve">14:34 </t>
    </r>
  </si>
  <si>
    <r>
      <rPr>
        <sz val="19"/>
        <color rgb="FF000000"/>
        <rFont val="Calibri"/>
        <family val="2"/>
      </rPr>
      <t xml:space="preserve">15:23 </t>
    </r>
  </si>
  <si>
    <r>
      <rPr>
        <sz val="19"/>
        <color rgb="FF000000"/>
        <rFont val="Calibri"/>
        <family val="2"/>
      </rPr>
      <t xml:space="preserve">17:57 </t>
    </r>
  </si>
  <si>
    <r>
      <rPr>
        <sz val="19"/>
        <color rgb="FF000000"/>
        <rFont val="Calibri"/>
        <family val="2"/>
      </rPr>
      <t xml:space="preserve">19:03 </t>
    </r>
  </si>
  <si>
    <r>
      <rPr>
        <sz val="19"/>
        <color rgb="FF000000"/>
        <rFont val="Calibri"/>
        <family val="2"/>
      </rPr>
      <t xml:space="preserve">21:58 </t>
    </r>
  </si>
  <si>
    <r>
      <rPr>
        <sz val="19"/>
        <color rgb="FF000000"/>
        <rFont val="Cambria"/>
        <family val="1"/>
      </rPr>
      <t xml:space="preserve">Kiisa </t>
    </r>
  </si>
  <si>
    <r>
      <rPr>
        <sz val="19"/>
        <color rgb="FF000000"/>
        <rFont val="Calibri"/>
        <family val="2"/>
      </rPr>
      <t xml:space="preserve">6:15 </t>
    </r>
  </si>
  <si>
    <r>
      <rPr>
        <sz val="19"/>
        <color rgb="FF000000"/>
        <rFont val="Calibri"/>
        <family val="2"/>
      </rPr>
      <t xml:space="preserve">8:30 </t>
    </r>
  </si>
  <si>
    <r>
      <rPr>
        <sz val="19"/>
        <color rgb="FF000000"/>
        <rFont val="Calibri"/>
        <family val="2"/>
      </rPr>
      <t xml:space="preserve">9:06 </t>
    </r>
  </si>
  <si>
    <r>
      <rPr>
        <sz val="19"/>
        <color rgb="FF000000"/>
        <rFont val="Calibri"/>
        <family val="2"/>
      </rPr>
      <t xml:space="preserve">10:55 </t>
    </r>
  </si>
  <si>
    <r>
      <rPr>
        <sz val="19"/>
        <color rgb="FF000000"/>
        <rFont val="Calibri"/>
        <family val="2"/>
      </rPr>
      <t xml:space="preserve">12:54 </t>
    </r>
  </si>
  <si>
    <r>
      <rPr>
        <sz val="19"/>
        <color rgb="FF000000"/>
        <rFont val="Calibri"/>
        <family val="2"/>
      </rPr>
      <t xml:space="preserve">13:31 </t>
    </r>
  </si>
  <si>
    <r>
      <rPr>
        <sz val="19"/>
        <color rgb="FF000000"/>
        <rFont val="Calibri"/>
        <family val="2"/>
      </rPr>
      <t xml:space="preserve">14:38 </t>
    </r>
  </si>
  <si>
    <r>
      <rPr>
        <sz val="19"/>
        <color rgb="FF000000"/>
        <rFont val="Calibri"/>
        <family val="2"/>
      </rPr>
      <t xml:space="preserve">15:27 </t>
    </r>
  </si>
  <si>
    <r>
      <rPr>
        <sz val="19"/>
        <color rgb="FF000000"/>
        <rFont val="Calibri"/>
        <family val="2"/>
      </rPr>
      <t xml:space="preserve">16:30 </t>
    </r>
  </si>
  <si>
    <r>
      <rPr>
        <sz val="19"/>
        <color rgb="FF000000"/>
        <rFont val="Calibri"/>
        <family val="2"/>
      </rPr>
      <t xml:space="preserve">18:01 </t>
    </r>
  </si>
  <si>
    <r>
      <rPr>
        <sz val="19"/>
        <color rgb="FF000000"/>
        <rFont val="Calibri"/>
        <family val="2"/>
      </rPr>
      <t xml:space="preserve">19:07 </t>
    </r>
  </si>
  <si>
    <r>
      <rPr>
        <sz val="19"/>
        <color rgb="FF000000"/>
        <rFont val="Calibri"/>
        <family val="2"/>
      </rPr>
      <t xml:space="preserve">20:00 </t>
    </r>
  </si>
  <si>
    <r>
      <rPr>
        <sz val="19"/>
        <color rgb="FF000000"/>
        <rFont val="Calibri"/>
        <family val="2"/>
      </rPr>
      <t xml:space="preserve">22:02 </t>
    </r>
  </si>
  <si>
    <r>
      <rPr>
        <sz val="19"/>
        <color rgb="FF000000"/>
        <rFont val="Cambria"/>
        <family val="1"/>
      </rPr>
      <t xml:space="preserve">Kasemetsa </t>
    </r>
  </si>
  <si>
    <r>
      <rPr>
        <sz val="19"/>
        <color rgb="FF000000"/>
        <rFont val="Calibri"/>
        <family val="2"/>
      </rPr>
      <t xml:space="preserve">6:18 </t>
    </r>
  </si>
  <si>
    <r>
      <rPr>
        <sz val="19"/>
        <color rgb="FF000000"/>
        <rFont val="Calibri"/>
        <family val="2"/>
      </rPr>
      <t xml:space="preserve">8:33 </t>
    </r>
  </si>
  <si>
    <r>
      <rPr>
        <sz val="19"/>
        <color rgb="FF000000"/>
        <rFont val="Calibri"/>
        <family val="2"/>
      </rPr>
      <t xml:space="preserve">9:09 </t>
    </r>
  </si>
  <si>
    <r>
      <rPr>
        <sz val="19"/>
        <color rgb="FF000000"/>
        <rFont val="Calibri"/>
        <family val="2"/>
      </rPr>
      <t xml:space="preserve">10:58 </t>
    </r>
  </si>
  <si>
    <r>
      <rPr>
        <sz val="19"/>
        <color rgb="FF000000"/>
        <rFont val="Calibri"/>
        <family val="2"/>
      </rPr>
      <t xml:space="preserve">13:34 </t>
    </r>
  </si>
  <si>
    <r>
      <rPr>
        <sz val="19"/>
        <color rgb="FF000000"/>
        <rFont val="Calibri"/>
        <family val="2"/>
      </rPr>
      <t xml:space="preserve">14:41 </t>
    </r>
  </si>
  <si>
    <r>
      <rPr>
        <sz val="19"/>
        <color rgb="FF000000"/>
        <rFont val="Calibri"/>
        <family val="2"/>
      </rPr>
      <t xml:space="preserve">18:04 </t>
    </r>
  </si>
  <si>
    <r>
      <rPr>
        <sz val="19"/>
        <color rgb="FF000000"/>
        <rFont val="Calibri"/>
        <family val="2"/>
      </rPr>
      <t xml:space="preserve">19:10 </t>
    </r>
  </si>
  <si>
    <r>
      <rPr>
        <sz val="19"/>
        <color rgb="FF000000"/>
        <rFont val="Calibri"/>
        <family val="2"/>
      </rPr>
      <t xml:space="preserve">22:05 </t>
    </r>
  </si>
  <si>
    <r>
      <rPr>
        <sz val="19"/>
        <color rgb="FF000000"/>
        <rFont val="Cambria"/>
        <family val="1"/>
      </rPr>
      <t xml:space="preserve">Saku </t>
    </r>
  </si>
  <si>
    <r>
      <rPr>
        <sz val="19"/>
        <color rgb="FF000000"/>
        <rFont val="Calibri"/>
        <family val="2"/>
      </rPr>
      <t xml:space="preserve">6:22 </t>
    </r>
  </si>
  <si>
    <r>
      <rPr>
        <sz val="19"/>
        <color rgb="FF000000"/>
        <rFont val="Calibri"/>
        <family val="2"/>
      </rPr>
      <t xml:space="preserve">8:14 </t>
    </r>
  </si>
  <si>
    <r>
      <rPr>
        <sz val="19"/>
        <color rgb="FF000000"/>
        <rFont val="Calibri"/>
        <family val="2"/>
      </rPr>
      <t xml:space="preserve">9:13 </t>
    </r>
  </si>
  <si>
    <r>
      <rPr>
        <sz val="19"/>
        <color rgb="FF000000"/>
        <rFont val="Calibri"/>
        <family val="2"/>
      </rPr>
      <t xml:space="preserve">10:09 </t>
    </r>
  </si>
  <si>
    <r>
      <rPr>
        <sz val="19"/>
        <color rgb="FF000000"/>
        <rFont val="Calibri"/>
        <family val="2"/>
      </rPr>
      <t xml:space="preserve">11:02 </t>
    </r>
  </si>
  <si>
    <r>
      <rPr>
        <sz val="19"/>
        <color rgb="FF000000"/>
        <rFont val="Calibri"/>
        <family val="2"/>
      </rPr>
      <t xml:space="preserve">13:00 </t>
    </r>
  </si>
  <si>
    <r>
      <rPr>
        <sz val="19"/>
        <color rgb="FF000000"/>
        <rFont val="Calibri"/>
        <family val="2"/>
      </rPr>
      <t xml:space="preserve">13:38 </t>
    </r>
  </si>
  <si>
    <r>
      <rPr>
        <sz val="19"/>
        <color rgb="FF000000"/>
        <rFont val="Calibri"/>
        <family val="2"/>
      </rPr>
      <t xml:space="preserve">14:45 </t>
    </r>
  </si>
  <si>
    <r>
      <rPr>
        <sz val="19"/>
        <color rgb="FF000000"/>
        <rFont val="Calibri"/>
        <family val="2"/>
      </rPr>
      <t xml:space="preserve">15:34 </t>
    </r>
  </si>
  <si>
    <r>
      <rPr>
        <sz val="19"/>
        <color rgb="FF000000"/>
        <rFont val="Calibri"/>
        <family val="2"/>
      </rPr>
      <t xml:space="preserve">16:36 </t>
    </r>
  </si>
  <si>
    <r>
      <rPr>
        <sz val="19"/>
        <color rgb="FF000000"/>
        <rFont val="Calibri"/>
        <family val="2"/>
      </rPr>
      <t xml:space="preserve">18:08 </t>
    </r>
  </si>
  <si>
    <r>
      <rPr>
        <sz val="19"/>
        <color rgb="FF000000"/>
        <rFont val="Calibri"/>
        <family val="2"/>
      </rPr>
      <t xml:space="preserve">19:14 </t>
    </r>
  </si>
  <si>
    <r>
      <rPr>
        <sz val="19"/>
        <color rgb="FF000000"/>
        <rFont val="Calibri"/>
        <family val="2"/>
      </rPr>
      <t xml:space="preserve">20:06 </t>
    </r>
  </si>
  <si>
    <r>
      <rPr>
        <sz val="19"/>
        <color rgb="FF000000"/>
        <rFont val="Calibri"/>
        <family val="2"/>
      </rPr>
      <t xml:space="preserve">22:09 </t>
    </r>
  </si>
  <si>
    <r>
      <rPr>
        <sz val="19"/>
        <color rgb="FF000000"/>
        <rFont val="Cambria"/>
        <family val="1"/>
      </rPr>
      <t xml:space="preserve">Männiku </t>
    </r>
  </si>
  <si>
    <r>
      <rPr>
        <sz val="19"/>
        <color rgb="FF000000"/>
        <rFont val="Calibri"/>
        <family val="2"/>
      </rPr>
      <t xml:space="preserve">6:26 </t>
    </r>
  </si>
  <si>
    <r>
      <rPr>
        <sz val="19"/>
        <color rgb="FF000000"/>
        <rFont val="Calibri"/>
        <family val="2"/>
      </rPr>
      <t xml:space="preserve">8:41 </t>
    </r>
  </si>
  <si>
    <r>
      <rPr>
        <sz val="19"/>
        <color rgb="FF000000"/>
        <rFont val="Calibri"/>
        <family val="2"/>
      </rPr>
      <t xml:space="preserve">9:17 </t>
    </r>
  </si>
  <si>
    <r>
      <rPr>
        <sz val="19"/>
        <color rgb="FF000000"/>
        <rFont val="Calibri"/>
        <family val="2"/>
      </rPr>
      <t xml:space="preserve">11:06 </t>
    </r>
  </si>
  <si>
    <r>
      <rPr>
        <sz val="19"/>
        <color rgb="FF000000"/>
        <rFont val="Calibri"/>
        <family val="2"/>
      </rPr>
      <t xml:space="preserve">13:42 </t>
    </r>
  </si>
  <si>
    <r>
      <rPr>
        <sz val="19"/>
        <color rgb="FF000000"/>
        <rFont val="Calibri"/>
        <family val="2"/>
      </rPr>
      <t xml:space="preserve">14:49 </t>
    </r>
  </si>
  <si>
    <r>
      <rPr>
        <sz val="19"/>
        <color rgb="FF000000"/>
        <rFont val="Calibri"/>
        <family val="2"/>
      </rPr>
      <t xml:space="preserve">15:38 </t>
    </r>
  </si>
  <si>
    <r>
      <rPr>
        <sz val="19"/>
        <color rgb="FF000000"/>
        <rFont val="Calibri"/>
        <family val="2"/>
      </rPr>
      <t xml:space="preserve">18:12 </t>
    </r>
  </si>
  <si>
    <r>
      <rPr>
        <sz val="19"/>
        <color rgb="FF000000"/>
        <rFont val="Calibri"/>
        <family val="2"/>
      </rPr>
      <t xml:space="preserve">19:18 </t>
    </r>
  </si>
  <si>
    <r>
      <rPr>
        <sz val="19"/>
        <color rgb="FF000000"/>
        <rFont val="Calibri"/>
        <family val="2"/>
      </rPr>
      <t xml:space="preserve">22:13 </t>
    </r>
  </si>
  <si>
    <r>
      <rPr>
        <sz val="19"/>
        <color rgb="FF000000"/>
        <rFont val="Cambria"/>
        <family val="1"/>
      </rPr>
      <t xml:space="preserve">Valdeku </t>
    </r>
  </si>
  <si>
    <r>
      <rPr>
        <sz val="19"/>
        <color rgb="FF000000"/>
        <rFont val="Calibri"/>
        <family val="2"/>
      </rPr>
      <t xml:space="preserve">6:30 </t>
    </r>
  </si>
  <si>
    <r>
      <rPr>
        <sz val="19"/>
        <color rgb="FF000000"/>
        <rFont val="Calibri"/>
        <family val="2"/>
      </rPr>
      <t xml:space="preserve">8:45 </t>
    </r>
  </si>
  <si>
    <r>
      <rPr>
        <sz val="19"/>
        <color rgb="FF000000"/>
        <rFont val="Calibri"/>
        <family val="2"/>
      </rPr>
      <t xml:space="preserve">9:21 </t>
    </r>
  </si>
  <si>
    <r>
      <rPr>
        <sz val="19"/>
        <color rgb="FF000000"/>
        <rFont val="Calibri"/>
        <family val="2"/>
      </rPr>
      <t xml:space="preserve">11:10 </t>
    </r>
  </si>
  <si>
    <r>
      <rPr>
        <sz val="19"/>
        <color rgb="FF000000"/>
        <rFont val="Calibri"/>
        <family val="2"/>
      </rPr>
      <t xml:space="preserve">13:46 </t>
    </r>
  </si>
  <si>
    <r>
      <rPr>
        <sz val="19"/>
        <color rgb="FF000000"/>
        <rFont val="Calibri"/>
        <family val="2"/>
      </rPr>
      <t xml:space="preserve">14:53 </t>
    </r>
  </si>
  <si>
    <r>
      <rPr>
        <sz val="19"/>
        <color rgb="FF000000"/>
        <rFont val="Calibri"/>
        <family val="2"/>
      </rPr>
      <t xml:space="preserve">15:42 </t>
    </r>
  </si>
  <si>
    <r>
      <rPr>
        <sz val="19"/>
        <color rgb="FF000000"/>
        <rFont val="Calibri"/>
        <family val="2"/>
      </rPr>
      <t xml:space="preserve">18:16 </t>
    </r>
  </si>
  <si>
    <r>
      <rPr>
        <sz val="19"/>
        <color rgb="FF000000"/>
        <rFont val="Calibri"/>
        <family val="2"/>
      </rPr>
      <t xml:space="preserve">19:22 </t>
    </r>
  </si>
  <si>
    <r>
      <rPr>
        <sz val="19"/>
        <color rgb="FF000000"/>
        <rFont val="Calibri"/>
        <family val="2"/>
      </rPr>
      <t xml:space="preserve">22:17 </t>
    </r>
  </si>
  <si>
    <r>
      <rPr>
        <sz val="19"/>
        <color rgb="FF000000"/>
        <rFont val="Cambria"/>
        <family val="1"/>
      </rPr>
      <t xml:space="preserve">Liiva </t>
    </r>
  </si>
  <si>
    <r>
      <rPr>
        <sz val="19"/>
        <color rgb="FF000000"/>
        <rFont val="Calibri"/>
        <family val="2"/>
      </rPr>
      <t xml:space="preserve">6:33 </t>
    </r>
  </si>
  <si>
    <r>
      <rPr>
        <sz val="19"/>
        <color rgb="FF000000"/>
        <rFont val="Calibri"/>
        <family val="2"/>
      </rPr>
      <t xml:space="preserve">8:22 </t>
    </r>
  </si>
  <si>
    <r>
      <rPr>
        <sz val="19"/>
        <color rgb="FF000000"/>
        <rFont val="Calibri"/>
        <family val="2"/>
      </rPr>
      <t xml:space="preserve">9:24 </t>
    </r>
  </si>
  <si>
    <r>
      <rPr>
        <sz val="19"/>
        <color rgb="FF000000"/>
        <rFont val="Calibri"/>
        <family val="2"/>
      </rPr>
      <t xml:space="preserve">10:18 </t>
    </r>
  </si>
  <si>
    <r>
      <rPr>
        <sz val="19"/>
        <color rgb="FF000000"/>
        <rFont val="Calibri"/>
        <family val="2"/>
      </rPr>
      <t xml:space="preserve">13:09 </t>
    </r>
  </si>
  <si>
    <r>
      <rPr>
        <sz val="19"/>
        <color rgb="FF000000"/>
        <rFont val="Calibri"/>
        <family val="2"/>
      </rPr>
      <t xml:space="preserve">13:49 </t>
    </r>
  </si>
  <si>
    <r>
      <rPr>
        <sz val="19"/>
        <color rgb="FF000000"/>
        <rFont val="Calibri"/>
        <family val="2"/>
      </rPr>
      <t xml:space="preserve">15:45 </t>
    </r>
  </si>
  <si>
    <r>
      <rPr>
        <sz val="19"/>
        <color rgb="FF000000"/>
        <rFont val="Calibri"/>
        <family val="2"/>
      </rPr>
      <t xml:space="preserve">16:44 </t>
    </r>
  </si>
  <si>
    <r>
      <rPr>
        <sz val="19"/>
        <color rgb="FF000000"/>
        <rFont val="Calibri"/>
        <family val="2"/>
      </rPr>
      <t xml:space="preserve">18:19 </t>
    </r>
  </si>
  <si>
    <r>
      <rPr>
        <sz val="19"/>
        <color rgb="FF000000"/>
        <rFont val="Calibri"/>
        <family val="2"/>
      </rPr>
      <t xml:space="preserve">19:25 </t>
    </r>
  </si>
  <si>
    <r>
      <rPr>
        <sz val="19"/>
        <color rgb="FF000000"/>
        <rFont val="Calibri"/>
        <family val="2"/>
      </rPr>
      <t xml:space="preserve">20:16 </t>
    </r>
  </si>
  <si>
    <r>
      <rPr>
        <sz val="19"/>
        <color rgb="FF000000"/>
        <rFont val="Calibri"/>
        <family val="2"/>
      </rPr>
      <t xml:space="preserve">22:20 </t>
    </r>
  </si>
  <si>
    <r>
      <rPr>
        <sz val="19"/>
        <color rgb="FF000000"/>
        <rFont val="Cambria"/>
        <family val="1"/>
      </rPr>
      <t xml:space="preserve">Tallinn-Väike </t>
    </r>
  </si>
  <si>
    <r>
      <rPr>
        <sz val="19"/>
        <color rgb="FF000000"/>
        <rFont val="Calibri"/>
        <family val="2"/>
      </rPr>
      <t xml:space="preserve">6:39 </t>
    </r>
  </si>
  <si>
    <r>
      <rPr>
        <sz val="19"/>
        <color rgb="FF000000"/>
        <rFont val="Calibri"/>
        <family val="2"/>
      </rPr>
      <t xml:space="preserve">8:27 </t>
    </r>
  </si>
  <si>
    <r>
      <rPr>
        <sz val="19"/>
        <color rgb="FF000000"/>
        <rFont val="Calibri"/>
        <family val="2"/>
      </rPr>
      <t xml:space="preserve">8:54 </t>
    </r>
  </si>
  <si>
    <r>
      <rPr>
        <sz val="19"/>
        <color rgb="FF000000"/>
        <rFont val="Calibri"/>
        <family val="2"/>
      </rPr>
      <t xml:space="preserve">9:29 </t>
    </r>
  </si>
  <si>
    <r>
      <rPr>
        <sz val="19"/>
        <color rgb="FF000000"/>
        <rFont val="Calibri"/>
        <family val="2"/>
      </rPr>
      <t xml:space="preserve">10:23 </t>
    </r>
  </si>
  <si>
    <r>
      <rPr>
        <sz val="19"/>
        <color rgb="FF000000"/>
        <rFont val="Calibri"/>
        <family val="2"/>
      </rPr>
      <t xml:space="preserve">11:18 </t>
    </r>
  </si>
  <si>
    <r>
      <rPr>
        <sz val="19"/>
        <color rgb="FF000000"/>
        <rFont val="Calibri"/>
        <family val="2"/>
      </rPr>
      <t xml:space="preserve">13:14 </t>
    </r>
  </si>
  <si>
    <r>
      <rPr>
        <sz val="19"/>
        <color rgb="FF000000"/>
        <rFont val="Calibri"/>
        <family val="2"/>
      </rPr>
      <t xml:space="preserve">13:55 </t>
    </r>
  </si>
  <si>
    <r>
      <rPr>
        <sz val="19"/>
        <color rgb="FF000000"/>
        <rFont val="Calibri"/>
        <family val="2"/>
      </rPr>
      <t xml:space="preserve">15:51 </t>
    </r>
  </si>
  <si>
    <r>
      <rPr>
        <sz val="19"/>
        <color rgb="FF000000"/>
        <rFont val="Calibri"/>
        <family val="2"/>
      </rPr>
      <t xml:space="preserve">16:49 </t>
    </r>
  </si>
  <si>
    <r>
      <rPr>
        <sz val="19"/>
        <color rgb="FF000000"/>
        <rFont val="Calibri"/>
        <family val="2"/>
      </rPr>
      <t xml:space="preserve">18:24 </t>
    </r>
  </si>
  <si>
    <r>
      <rPr>
        <sz val="19"/>
        <color rgb="FF000000"/>
        <rFont val="Calibri"/>
        <family val="2"/>
      </rPr>
      <t xml:space="preserve">19:30 </t>
    </r>
  </si>
  <si>
    <r>
      <rPr>
        <sz val="19"/>
        <color rgb="FF000000"/>
        <rFont val="Calibri"/>
        <family val="2"/>
      </rPr>
      <t xml:space="preserve">20:22 </t>
    </r>
  </si>
  <si>
    <r>
      <rPr>
        <sz val="19"/>
        <color rgb="FF000000"/>
        <rFont val="Calibri"/>
        <family val="2"/>
      </rPr>
      <t xml:space="preserve">22:26 </t>
    </r>
  </si>
  <si>
    <r>
      <rPr>
        <sz val="19"/>
        <color rgb="FF000000"/>
        <rFont val="Cambria"/>
        <family val="1"/>
      </rPr>
      <t xml:space="preserve">Tallinn </t>
    </r>
  </si>
  <si>
    <r>
      <rPr>
        <sz val="19"/>
        <color rgb="FF000000"/>
        <rFont val="Calibri"/>
        <family val="2"/>
      </rPr>
      <t xml:space="preserve">6:45 </t>
    </r>
  </si>
  <si>
    <r>
      <rPr>
        <sz val="19"/>
        <color rgb="FF000000"/>
        <rFont val="Calibri"/>
        <family val="2"/>
      </rPr>
      <t xml:space="preserve">8:34 </t>
    </r>
  </si>
  <si>
    <r>
      <rPr>
        <sz val="19"/>
        <color rgb="FF000000"/>
        <rFont val="Calibri"/>
        <family val="2"/>
      </rPr>
      <t xml:space="preserve">9:00 </t>
    </r>
  </si>
  <si>
    <r>
      <rPr>
        <sz val="19"/>
        <color rgb="FF000000"/>
        <rFont val="Calibri"/>
        <family val="2"/>
      </rPr>
      <t xml:space="preserve">9:35 </t>
    </r>
  </si>
  <si>
    <r>
      <rPr>
        <sz val="19"/>
        <color rgb="FF000000"/>
        <rFont val="Calibri"/>
        <family val="2"/>
      </rPr>
      <t xml:space="preserve">10:29 </t>
    </r>
  </si>
  <si>
    <r>
      <rPr>
        <sz val="19"/>
        <color rgb="FF000000"/>
        <rFont val="Calibri"/>
        <family val="2"/>
      </rPr>
      <t xml:space="preserve">11:24 </t>
    </r>
  </si>
  <si>
    <r>
      <rPr>
        <sz val="19"/>
        <color rgb="FF000000"/>
        <rFont val="Calibri"/>
        <family val="2"/>
      </rPr>
      <t xml:space="preserve">13:20 </t>
    </r>
  </si>
  <si>
    <r>
      <rPr>
        <sz val="19"/>
        <color rgb="FF000000"/>
        <rFont val="Calibri"/>
        <family val="2"/>
      </rPr>
      <t xml:space="preserve">14:01 </t>
    </r>
  </si>
  <si>
    <r>
      <rPr>
        <sz val="19"/>
        <color rgb="FF000000"/>
        <rFont val="Calibri"/>
        <family val="2"/>
      </rPr>
      <t xml:space="preserve">15:09 </t>
    </r>
  </si>
  <si>
    <r>
      <rPr>
        <sz val="19"/>
        <color rgb="FF000000"/>
        <rFont val="Calibri"/>
        <family val="2"/>
      </rPr>
      <t xml:space="preserve">15:57 </t>
    </r>
  </si>
  <si>
    <r>
      <rPr>
        <sz val="19"/>
        <color rgb="FF000000"/>
        <rFont val="Calibri"/>
        <family val="2"/>
      </rPr>
      <t xml:space="preserve">16:55 </t>
    </r>
  </si>
  <si>
    <r>
      <rPr>
        <sz val="19"/>
        <color rgb="FF000000"/>
        <rFont val="Calibri"/>
        <family val="2"/>
      </rPr>
      <t xml:space="preserve">18:30 </t>
    </r>
  </si>
  <si>
    <r>
      <rPr>
        <sz val="19"/>
        <color rgb="FF000000"/>
        <rFont val="Calibri"/>
        <family val="2"/>
      </rPr>
      <t xml:space="preserve">19:36 </t>
    </r>
  </si>
  <si>
    <r>
      <rPr>
        <sz val="19"/>
        <color rgb="FF000000"/>
        <rFont val="Calibri"/>
        <family val="2"/>
      </rPr>
      <t xml:space="preserve">20:28 </t>
    </r>
  </si>
  <si>
    <r>
      <rPr>
        <sz val="19"/>
        <color rgb="FF000000"/>
        <rFont val="Calibri"/>
        <family val="2"/>
      </rPr>
      <t xml:space="preserve">22:32 </t>
    </r>
  </si>
  <si>
    <r>
      <rPr>
        <sz val="22"/>
        <color rgb="FFFFFFFF"/>
        <rFont val="Cambria"/>
        <family val="1"/>
      </rPr>
      <t xml:space="preserve">EDELASUUNA SÕIDUPLAAN ALATES 13. DETSEMBRIST / </t>
    </r>
    <r>
      <rPr>
        <sz val="22"/>
        <color rgb="FF000000"/>
        <rFont val="Cambria"/>
        <family val="1"/>
      </rPr>
      <t xml:space="preserve">Southwestbound trains timetable from 13 December </t>
    </r>
  </si>
  <si>
    <r>
      <rPr>
        <sz val="18"/>
        <color rgb="FF000000"/>
        <rFont val="Cambria"/>
        <family val="1"/>
      </rPr>
      <t xml:space="preserve">Reisi nr </t>
    </r>
  </si>
  <si>
    <r>
      <rPr>
        <sz val="20"/>
        <color rgb="FF000000"/>
        <rFont val="Cambria"/>
        <family val="1"/>
      </rPr>
      <t xml:space="preserve">Tallinn </t>
    </r>
  </si>
  <si>
    <r>
      <rPr>
        <sz val="20"/>
        <color rgb="FF000000"/>
        <rFont val="Calibri"/>
        <family val="2"/>
      </rPr>
      <t xml:space="preserve">7:39 </t>
    </r>
  </si>
  <si>
    <r>
      <rPr>
        <sz val="20"/>
        <color rgb="FF000000"/>
        <rFont val="Calibri"/>
        <family val="2"/>
      </rPr>
      <t xml:space="preserve">8:36 </t>
    </r>
  </si>
  <si>
    <r>
      <rPr>
        <sz val="20"/>
        <color rgb="FF000000"/>
        <rFont val="Calibri"/>
        <family val="2"/>
      </rPr>
      <t xml:space="preserve">10:05 </t>
    </r>
  </si>
  <si>
    <r>
      <rPr>
        <sz val="20"/>
        <color rgb="FF000000"/>
        <rFont val="Calibri"/>
        <family val="2"/>
      </rPr>
      <t xml:space="preserve">11:41 </t>
    </r>
  </si>
  <si>
    <r>
      <rPr>
        <sz val="20"/>
        <color rgb="FF000000"/>
        <rFont val="Calibri"/>
        <family val="2"/>
      </rPr>
      <t xml:space="preserve">12:56 </t>
    </r>
  </si>
  <si>
    <r>
      <rPr>
        <sz val="20"/>
        <color rgb="FF000000"/>
        <rFont val="Calibri"/>
        <family val="2"/>
      </rPr>
      <t xml:space="preserve">13:48 </t>
    </r>
  </si>
  <si>
    <r>
      <rPr>
        <sz val="20"/>
        <color rgb="FF000000"/>
        <rFont val="Calibri"/>
        <family val="2"/>
      </rPr>
      <t xml:space="preserve">14:44 </t>
    </r>
  </si>
  <si>
    <r>
      <rPr>
        <sz val="20"/>
        <color rgb="FF000000"/>
        <rFont val="Calibri"/>
        <family val="2"/>
      </rPr>
      <t xml:space="preserve">15:43 </t>
    </r>
  </si>
  <si>
    <r>
      <rPr>
        <sz val="20"/>
        <color rgb="FF000000"/>
        <rFont val="Calibri"/>
        <family val="2"/>
      </rPr>
      <t xml:space="preserve">16:29 </t>
    </r>
  </si>
  <si>
    <r>
      <rPr>
        <sz val="20"/>
        <color rgb="FF000000"/>
        <rFont val="Calibri"/>
        <family val="2"/>
      </rPr>
      <t xml:space="preserve">17:11 </t>
    </r>
  </si>
  <si>
    <r>
      <rPr>
        <sz val="20"/>
        <color rgb="FF000000"/>
        <rFont val="Calibri"/>
        <family val="2"/>
      </rPr>
      <t xml:space="preserve">17:35 </t>
    </r>
  </si>
  <si>
    <r>
      <rPr>
        <sz val="20"/>
        <color rgb="FF000000"/>
        <rFont val="Calibri"/>
        <family val="2"/>
      </rPr>
      <t xml:space="preserve">18:15 </t>
    </r>
  </si>
  <si>
    <r>
      <rPr>
        <sz val="20"/>
        <color rgb="FF000000"/>
        <rFont val="Calibri"/>
        <family val="2"/>
      </rPr>
      <t xml:space="preserve">19:11 </t>
    </r>
  </si>
  <si>
    <r>
      <rPr>
        <sz val="20"/>
        <color rgb="FF000000"/>
        <rFont val="Calibri"/>
        <family val="2"/>
      </rPr>
      <t xml:space="preserve">21:12 </t>
    </r>
  </si>
  <si>
    <r>
      <rPr>
        <sz val="20"/>
        <color rgb="FF000000"/>
        <rFont val="Calibri"/>
        <family val="2"/>
      </rPr>
      <t xml:space="preserve">22:19 </t>
    </r>
  </si>
  <si>
    <r>
      <rPr>
        <sz val="20"/>
        <color rgb="FF000000"/>
        <rFont val="Cambria"/>
        <family val="1"/>
      </rPr>
      <t xml:space="preserve">Tallinn-Väike </t>
    </r>
  </si>
  <si>
    <r>
      <rPr>
        <sz val="20"/>
        <color rgb="FF000000"/>
        <rFont val="Calibri"/>
        <family val="2"/>
      </rPr>
      <t xml:space="preserve">7:48 </t>
    </r>
  </si>
  <si>
    <r>
      <rPr>
        <sz val="20"/>
        <color rgb="FF000000"/>
        <rFont val="Calibri"/>
        <family val="2"/>
      </rPr>
      <t xml:space="preserve">8:43 </t>
    </r>
  </si>
  <si>
    <r>
      <rPr>
        <sz val="20"/>
        <color rgb="FF000000"/>
        <rFont val="Calibri"/>
        <family val="2"/>
      </rPr>
      <t xml:space="preserve">10:12 </t>
    </r>
  </si>
  <si>
    <r>
      <rPr>
        <sz val="20"/>
        <color rgb="FF000000"/>
        <rFont val="Calibri"/>
        <family val="2"/>
      </rPr>
      <t xml:space="preserve">11:49 </t>
    </r>
  </si>
  <si>
    <r>
      <rPr>
        <sz val="20"/>
        <color rgb="FF000000"/>
        <rFont val="Calibri"/>
        <family val="2"/>
      </rPr>
      <t xml:space="preserve">13:03 </t>
    </r>
  </si>
  <si>
    <r>
      <rPr>
        <sz val="20"/>
        <color rgb="FF000000"/>
        <rFont val="Calibri"/>
        <family val="2"/>
      </rPr>
      <t xml:space="preserve">13:55 </t>
    </r>
  </si>
  <si>
    <r>
      <rPr>
        <sz val="20"/>
        <color rgb="FF000000"/>
        <rFont val="Calibri"/>
        <family val="2"/>
      </rPr>
      <t xml:space="preserve">14:51 </t>
    </r>
  </si>
  <si>
    <r>
      <rPr>
        <sz val="20"/>
        <color rgb="FF000000"/>
        <rFont val="Calibri"/>
        <family val="2"/>
      </rPr>
      <t xml:space="preserve">15:50 </t>
    </r>
  </si>
  <si>
    <r>
      <rPr>
        <sz val="20"/>
        <color rgb="FF000000"/>
        <rFont val="Calibri"/>
        <family val="2"/>
      </rPr>
      <t xml:space="preserve">16:37 </t>
    </r>
  </si>
  <si>
    <r>
      <rPr>
        <sz val="20"/>
        <color rgb="FF000000"/>
        <rFont val="Calibri"/>
        <family val="2"/>
      </rPr>
      <t xml:space="preserve">17:18 </t>
    </r>
  </si>
  <si>
    <r>
      <rPr>
        <sz val="20"/>
        <color rgb="FF000000"/>
        <rFont val="Calibri"/>
        <family val="2"/>
      </rPr>
      <t xml:space="preserve">17:42 </t>
    </r>
  </si>
  <si>
    <r>
      <rPr>
        <sz val="20"/>
        <color rgb="FF000000"/>
        <rFont val="Calibri"/>
        <family val="2"/>
      </rPr>
      <t xml:space="preserve">18:24 </t>
    </r>
  </si>
  <si>
    <r>
      <rPr>
        <sz val="20"/>
        <color rgb="FF000000"/>
        <rFont val="Calibri"/>
        <family val="2"/>
      </rPr>
      <t xml:space="preserve">19:19 </t>
    </r>
  </si>
  <si>
    <r>
      <rPr>
        <sz val="20"/>
        <color rgb="FF000000"/>
        <rFont val="Calibri"/>
        <family val="2"/>
      </rPr>
      <t xml:space="preserve">21:19 </t>
    </r>
  </si>
  <si>
    <r>
      <rPr>
        <sz val="20"/>
        <color rgb="FF000000"/>
        <rFont val="Calibri"/>
        <family val="2"/>
      </rPr>
      <t xml:space="preserve">22:26 </t>
    </r>
  </si>
  <si>
    <r>
      <rPr>
        <sz val="20"/>
        <color rgb="FF000000"/>
        <rFont val="Cambria"/>
        <family val="1"/>
      </rPr>
      <t xml:space="preserve">Liiva </t>
    </r>
  </si>
  <si>
    <r>
      <rPr>
        <sz val="20"/>
        <color rgb="FF000000"/>
        <rFont val="Calibri"/>
        <family val="2"/>
      </rPr>
      <t xml:space="preserve">7:53 </t>
    </r>
  </si>
  <si>
    <r>
      <rPr>
        <sz val="20"/>
        <color rgb="FF000000"/>
        <rFont val="Calibri"/>
        <family val="2"/>
      </rPr>
      <t xml:space="preserve">8:48 </t>
    </r>
  </si>
  <si>
    <r>
      <rPr>
        <sz val="20"/>
        <color rgb="FF000000"/>
        <rFont val="Calibri"/>
        <family val="2"/>
      </rPr>
      <t xml:space="preserve">10:17 </t>
    </r>
  </si>
  <si>
    <r>
      <rPr>
        <sz val="20"/>
        <color rgb="FF000000"/>
        <rFont val="Calibri"/>
        <family val="2"/>
      </rPr>
      <t xml:space="preserve">11:54 </t>
    </r>
  </si>
  <si>
    <r>
      <rPr>
        <sz val="20"/>
        <color rgb="FF000000"/>
        <rFont val="Calibri"/>
        <family val="2"/>
      </rPr>
      <t xml:space="preserve">13:10 </t>
    </r>
  </si>
  <si>
    <r>
      <rPr>
        <sz val="20"/>
        <color rgb="FF000000"/>
        <rFont val="Calibri"/>
        <family val="2"/>
      </rPr>
      <t xml:space="preserve">14:00 </t>
    </r>
  </si>
  <si>
    <r>
      <rPr>
        <sz val="20"/>
        <color rgb="FF000000"/>
        <rFont val="Calibri"/>
        <family val="2"/>
      </rPr>
      <t xml:space="preserve">14:56 </t>
    </r>
  </si>
  <si>
    <r>
      <rPr>
        <sz val="20"/>
        <color rgb="FF000000"/>
        <rFont val="Calibri"/>
        <family val="2"/>
      </rPr>
      <t xml:space="preserve">15:55 </t>
    </r>
  </si>
  <si>
    <r>
      <rPr>
        <sz val="20"/>
        <color rgb="FF000000"/>
        <rFont val="Calibri"/>
        <family val="2"/>
      </rPr>
      <t xml:space="preserve">16:44 </t>
    </r>
  </si>
  <si>
    <r>
      <rPr>
        <sz val="20"/>
        <color rgb="FF000000"/>
        <rFont val="Calibri"/>
        <family val="2"/>
      </rPr>
      <t xml:space="preserve">17:23 </t>
    </r>
  </si>
  <si>
    <r>
      <rPr>
        <sz val="20"/>
        <color rgb="FF000000"/>
        <rFont val="Calibri"/>
        <family val="2"/>
      </rPr>
      <t xml:space="preserve">17:47 </t>
    </r>
  </si>
  <si>
    <r>
      <rPr>
        <sz val="20"/>
        <color rgb="FF000000"/>
        <rFont val="Calibri"/>
        <family val="2"/>
      </rPr>
      <t xml:space="preserve">18:29 </t>
    </r>
  </si>
  <si>
    <r>
      <rPr>
        <sz val="20"/>
        <color rgb="FF000000"/>
        <rFont val="Calibri"/>
        <family val="2"/>
      </rPr>
      <t xml:space="preserve">19:25 </t>
    </r>
  </si>
  <si>
    <r>
      <rPr>
        <sz val="20"/>
        <color rgb="FF000000"/>
        <rFont val="Calibri"/>
        <family val="2"/>
      </rPr>
      <t xml:space="preserve">20:27 </t>
    </r>
  </si>
  <si>
    <r>
      <rPr>
        <sz val="20"/>
        <color rgb="FF000000"/>
        <rFont val="Calibri"/>
        <family val="2"/>
      </rPr>
      <t xml:space="preserve">21:24 </t>
    </r>
  </si>
  <si>
    <r>
      <rPr>
        <sz val="20"/>
        <color rgb="FF000000"/>
        <rFont val="Calibri"/>
        <family val="2"/>
      </rPr>
      <t xml:space="preserve">22:31 </t>
    </r>
  </si>
  <si>
    <r>
      <rPr>
        <sz val="20"/>
        <color rgb="FF000000"/>
        <rFont val="Cambria"/>
        <family val="1"/>
      </rPr>
      <t xml:space="preserve">Valdeku </t>
    </r>
  </si>
  <si>
    <r>
      <rPr>
        <sz val="20"/>
        <color rgb="FF000000"/>
        <rFont val="Calibri"/>
        <family val="2"/>
      </rPr>
      <t xml:space="preserve">- </t>
    </r>
  </si>
  <si>
    <r>
      <rPr>
        <sz val="20"/>
        <color rgb="FF000000"/>
        <rFont val="Calibri"/>
        <family val="2"/>
      </rPr>
      <t xml:space="preserve">8:50 </t>
    </r>
  </si>
  <si>
    <r>
      <rPr>
        <sz val="20"/>
        <color rgb="FF000000"/>
        <rFont val="Calibri"/>
        <family val="2"/>
      </rPr>
      <t xml:space="preserve">10:19 </t>
    </r>
  </si>
  <si>
    <r>
      <rPr>
        <sz val="20"/>
        <color rgb="FF000000"/>
        <rFont val="Calibri"/>
        <family val="2"/>
      </rPr>
      <t xml:space="preserve">13:12 </t>
    </r>
  </si>
  <si>
    <r>
      <rPr>
        <sz val="20"/>
        <color rgb="FF000000"/>
        <rFont val="Calibri"/>
        <family val="2"/>
      </rPr>
      <t xml:space="preserve">14:02 </t>
    </r>
  </si>
  <si>
    <r>
      <rPr>
        <sz val="20"/>
        <color rgb="FF000000"/>
        <rFont val="Calibri"/>
        <family val="2"/>
      </rPr>
      <t xml:space="preserve">15:57 </t>
    </r>
  </si>
  <si>
    <r>
      <rPr>
        <sz val="20"/>
        <color rgb="FF000000"/>
        <rFont val="Calibri"/>
        <family val="2"/>
      </rPr>
      <t xml:space="preserve">16:46 </t>
    </r>
  </si>
  <si>
    <r>
      <rPr>
        <sz val="20"/>
        <color rgb="FF000000"/>
        <rFont val="Calibri"/>
        <family val="2"/>
      </rPr>
      <t xml:space="preserve">17:25 </t>
    </r>
  </si>
  <si>
    <r>
      <rPr>
        <sz val="20"/>
        <color rgb="FF000000"/>
        <rFont val="Calibri"/>
        <family val="2"/>
      </rPr>
      <t xml:space="preserve">18:31 </t>
    </r>
  </si>
  <si>
    <r>
      <rPr>
        <sz val="20"/>
        <color rgb="FF000000"/>
        <rFont val="Calibri"/>
        <family val="2"/>
      </rPr>
      <t xml:space="preserve">19:27 </t>
    </r>
  </si>
  <si>
    <r>
      <rPr>
        <sz val="20"/>
        <color rgb="FF000000"/>
        <rFont val="Calibri"/>
        <family val="2"/>
      </rPr>
      <t xml:space="preserve">21:26 </t>
    </r>
  </si>
  <si>
    <r>
      <rPr>
        <sz val="20"/>
        <color rgb="FF000000"/>
        <rFont val="Calibri"/>
        <family val="2"/>
      </rPr>
      <t xml:space="preserve">22:33 </t>
    </r>
  </si>
  <si>
    <r>
      <rPr>
        <sz val="20"/>
        <color rgb="FF000000"/>
        <rFont val="Cambria"/>
        <family val="1"/>
      </rPr>
      <t xml:space="preserve">Männiku </t>
    </r>
  </si>
  <si>
    <r>
      <rPr>
        <sz val="20"/>
        <color rgb="FF000000"/>
        <rFont val="Calibri"/>
        <family val="2"/>
      </rPr>
      <t xml:space="preserve">8:54 </t>
    </r>
  </si>
  <si>
    <r>
      <rPr>
        <sz val="20"/>
        <color rgb="FF000000"/>
        <rFont val="Calibri"/>
        <family val="2"/>
      </rPr>
      <t xml:space="preserve">10:23 </t>
    </r>
  </si>
  <si>
    <r>
      <rPr>
        <sz val="20"/>
        <color rgb="FF000000"/>
        <rFont val="Calibri"/>
        <family val="2"/>
      </rPr>
      <t xml:space="preserve">13:16 </t>
    </r>
  </si>
  <si>
    <r>
      <rPr>
        <sz val="20"/>
        <color rgb="FF000000"/>
        <rFont val="Calibri"/>
        <family val="2"/>
      </rPr>
      <t xml:space="preserve">14:06 </t>
    </r>
  </si>
  <si>
    <r>
      <rPr>
        <sz val="20"/>
        <color rgb="FF000000"/>
        <rFont val="Calibri"/>
        <family val="2"/>
      </rPr>
      <t xml:space="preserve">16:01 </t>
    </r>
  </si>
  <si>
    <r>
      <rPr>
        <sz val="20"/>
        <color rgb="FF000000"/>
        <rFont val="Calibri"/>
        <family val="2"/>
      </rPr>
      <t xml:space="preserve">16:50 </t>
    </r>
  </si>
  <si>
    <r>
      <rPr>
        <sz val="20"/>
        <color rgb="FF000000"/>
        <rFont val="Calibri"/>
        <family val="2"/>
      </rPr>
      <t xml:space="preserve">17:29 </t>
    </r>
  </si>
  <si>
    <r>
      <rPr>
        <sz val="20"/>
        <color rgb="FF000000"/>
        <rFont val="Calibri"/>
        <family val="2"/>
      </rPr>
      <t xml:space="preserve">18:35 </t>
    </r>
  </si>
  <si>
    <r>
      <rPr>
        <sz val="20"/>
        <color rgb="FF000000"/>
        <rFont val="Calibri"/>
        <family val="2"/>
      </rPr>
      <t xml:space="preserve">19:31 </t>
    </r>
  </si>
  <si>
    <r>
      <rPr>
        <sz val="20"/>
        <color rgb="FF000000"/>
        <rFont val="Calibri"/>
        <family val="2"/>
      </rPr>
      <t xml:space="preserve">21:30 </t>
    </r>
  </si>
  <si>
    <r>
      <rPr>
        <sz val="20"/>
        <color rgb="FF000000"/>
        <rFont val="Calibri"/>
        <family val="2"/>
      </rPr>
      <t xml:space="preserve">22:37 </t>
    </r>
  </si>
  <si>
    <r>
      <rPr>
        <sz val="20"/>
        <color rgb="FF000000"/>
        <rFont val="Cambria"/>
        <family val="1"/>
      </rPr>
      <t xml:space="preserve">Saku </t>
    </r>
  </si>
  <si>
    <r>
      <rPr>
        <sz val="20"/>
        <color rgb="FF000000"/>
        <rFont val="Calibri"/>
        <family val="2"/>
      </rPr>
      <t xml:space="preserve">8:00 </t>
    </r>
  </si>
  <si>
    <r>
      <rPr>
        <sz val="20"/>
        <color rgb="FF000000"/>
        <rFont val="Calibri"/>
        <family val="2"/>
      </rPr>
      <t xml:space="preserve">8:58 </t>
    </r>
  </si>
  <si>
    <r>
      <rPr>
        <sz val="20"/>
        <color rgb="FF000000"/>
        <rFont val="Calibri"/>
        <family val="2"/>
      </rPr>
      <t xml:space="preserve">10:27 </t>
    </r>
  </si>
  <si>
    <r>
      <rPr>
        <sz val="20"/>
        <color rgb="FF000000"/>
        <rFont val="Calibri"/>
        <family val="2"/>
      </rPr>
      <t xml:space="preserve">12:01 </t>
    </r>
  </si>
  <si>
    <r>
      <rPr>
        <sz val="20"/>
        <color rgb="FF000000"/>
        <rFont val="Calibri"/>
        <family val="2"/>
      </rPr>
      <t xml:space="preserve">13:21 </t>
    </r>
  </si>
  <si>
    <r>
      <rPr>
        <sz val="20"/>
        <color rgb="FF000000"/>
        <rFont val="Calibri"/>
        <family val="2"/>
      </rPr>
      <t xml:space="preserve">14:10 </t>
    </r>
  </si>
  <si>
    <r>
      <rPr>
        <sz val="20"/>
        <color rgb="FF000000"/>
        <rFont val="Calibri"/>
        <family val="2"/>
      </rPr>
      <t xml:space="preserve">15:03 </t>
    </r>
  </si>
  <si>
    <r>
      <rPr>
        <sz val="20"/>
        <color rgb="FF000000"/>
        <rFont val="Calibri"/>
        <family val="2"/>
      </rPr>
      <t xml:space="preserve">16:05 </t>
    </r>
  </si>
  <si>
    <r>
      <rPr>
        <sz val="20"/>
        <color rgb="FF000000"/>
        <rFont val="Calibri"/>
        <family val="2"/>
      </rPr>
      <t xml:space="preserve">16:54 </t>
    </r>
  </si>
  <si>
    <r>
      <rPr>
        <sz val="20"/>
        <color rgb="FF000000"/>
        <rFont val="Calibri"/>
        <family val="2"/>
      </rPr>
      <t xml:space="preserve">17:33 </t>
    </r>
  </si>
  <si>
    <r>
      <rPr>
        <sz val="20"/>
        <color rgb="FF000000"/>
        <rFont val="Calibri"/>
        <family val="2"/>
      </rPr>
      <t xml:space="preserve">17:54 </t>
    </r>
  </si>
  <si>
    <r>
      <rPr>
        <sz val="20"/>
        <color rgb="FF000000"/>
        <rFont val="Calibri"/>
        <family val="2"/>
      </rPr>
      <t xml:space="preserve">18:39 </t>
    </r>
  </si>
  <si>
    <r>
      <rPr>
        <sz val="20"/>
        <color rgb="FF000000"/>
        <rFont val="Calibri"/>
        <family val="2"/>
      </rPr>
      <t xml:space="preserve">19:35 </t>
    </r>
  </si>
  <si>
    <r>
      <rPr>
        <sz val="20"/>
        <color rgb="FF000000"/>
        <rFont val="Calibri"/>
        <family val="2"/>
      </rPr>
      <t xml:space="preserve">21:34 </t>
    </r>
  </si>
  <si>
    <r>
      <rPr>
        <sz val="20"/>
        <color rgb="FF000000"/>
        <rFont val="Calibri"/>
        <family val="2"/>
      </rPr>
      <t xml:space="preserve">22:41 </t>
    </r>
  </si>
  <si>
    <r>
      <rPr>
        <sz val="20"/>
        <color rgb="FF000000"/>
        <rFont val="Cambria"/>
        <family val="1"/>
      </rPr>
      <t xml:space="preserve">Kasemetsa </t>
    </r>
  </si>
  <si>
    <r>
      <rPr>
        <sz val="20"/>
        <color rgb="FF000000"/>
        <rFont val="Calibri"/>
        <family val="2"/>
      </rPr>
      <t xml:space="preserve">9:02 </t>
    </r>
  </si>
  <si>
    <r>
      <rPr>
        <sz val="20"/>
        <color rgb="FF000000"/>
        <rFont val="Calibri"/>
        <family val="2"/>
      </rPr>
      <t xml:space="preserve">10:31 </t>
    </r>
  </si>
  <si>
    <r>
      <rPr>
        <sz val="20"/>
        <color rgb="FF000000"/>
        <rFont val="Calibri"/>
        <family val="2"/>
      </rPr>
      <t xml:space="preserve">13:24 </t>
    </r>
  </si>
  <si>
    <r>
      <rPr>
        <sz val="20"/>
        <color rgb="FF000000"/>
        <rFont val="Calibri"/>
        <family val="2"/>
      </rPr>
      <t xml:space="preserve">14:14 </t>
    </r>
  </si>
  <si>
    <r>
      <rPr>
        <sz val="20"/>
        <color rgb="FF000000"/>
        <rFont val="Calibri"/>
        <family val="2"/>
      </rPr>
      <t xml:space="preserve">16:09 </t>
    </r>
  </si>
  <si>
    <r>
      <rPr>
        <sz val="20"/>
        <color rgb="FF000000"/>
        <rFont val="Calibri"/>
        <family val="2"/>
      </rPr>
      <t xml:space="preserve">16:58 </t>
    </r>
  </si>
  <si>
    <r>
      <rPr>
        <sz val="20"/>
        <color rgb="FF000000"/>
        <rFont val="Calibri"/>
        <family val="2"/>
      </rPr>
      <t xml:space="preserve">17:37 </t>
    </r>
  </si>
  <si>
    <r>
      <rPr>
        <sz val="20"/>
        <color rgb="FF000000"/>
        <rFont val="Calibri"/>
        <family val="2"/>
      </rPr>
      <t xml:space="preserve">18:43 </t>
    </r>
  </si>
  <si>
    <r>
      <rPr>
        <sz val="20"/>
        <color rgb="FF000000"/>
        <rFont val="Calibri"/>
        <family val="2"/>
      </rPr>
      <t xml:space="preserve">19:39 </t>
    </r>
  </si>
  <si>
    <r>
      <rPr>
        <sz val="20"/>
        <color rgb="FF000000"/>
        <rFont val="Calibri"/>
        <family val="2"/>
      </rPr>
      <t xml:space="preserve">21:38 </t>
    </r>
  </si>
  <si>
    <r>
      <rPr>
        <sz val="20"/>
        <color rgb="FF000000"/>
        <rFont val="Calibri"/>
        <family val="2"/>
      </rPr>
      <t xml:space="preserve">22:45 </t>
    </r>
  </si>
  <si>
    <r>
      <rPr>
        <sz val="20"/>
        <color rgb="FF000000"/>
        <rFont val="Cambria"/>
        <family val="1"/>
      </rPr>
      <t xml:space="preserve">Kiisa </t>
    </r>
  </si>
  <si>
    <r>
      <rPr>
        <sz val="20"/>
        <color rgb="FF000000"/>
        <rFont val="Calibri"/>
        <family val="2"/>
      </rPr>
      <t xml:space="preserve">8:10 </t>
    </r>
  </si>
  <si>
    <r>
      <rPr>
        <sz val="20"/>
        <color rgb="FF000000"/>
        <rFont val="Calibri"/>
        <family val="2"/>
      </rPr>
      <t xml:space="preserve">9:06 </t>
    </r>
  </si>
  <si>
    <r>
      <rPr>
        <sz val="20"/>
        <color rgb="FF000000"/>
        <rFont val="Calibri"/>
        <family val="2"/>
      </rPr>
      <t xml:space="preserve">10:35 </t>
    </r>
  </si>
  <si>
    <r>
      <rPr>
        <sz val="20"/>
        <color rgb="FF000000"/>
        <rFont val="Calibri"/>
        <family val="2"/>
      </rPr>
      <t xml:space="preserve">12:08 </t>
    </r>
  </si>
  <si>
    <r>
      <rPr>
        <sz val="20"/>
        <color rgb="FF000000"/>
        <rFont val="Calibri"/>
        <family val="2"/>
      </rPr>
      <t xml:space="preserve">13:32 </t>
    </r>
  </si>
  <si>
    <r>
      <rPr>
        <sz val="20"/>
        <color rgb="FF000000"/>
        <rFont val="Calibri"/>
        <family val="2"/>
      </rPr>
      <t xml:space="preserve">14:18 </t>
    </r>
  </si>
  <si>
    <r>
      <rPr>
        <sz val="20"/>
        <color rgb="FF000000"/>
        <rFont val="Calibri"/>
        <family val="2"/>
      </rPr>
      <t xml:space="preserve">15:10 </t>
    </r>
  </si>
  <si>
    <r>
      <rPr>
        <sz val="20"/>
        <color rgb="FF000000"/>
        <rFont val="Calibri"/>
        <family val="2"/>
      </rPr>
      <t xml:space="preserve">16:13 </t>
    </r>
  </si>
  <si>
    <r>
      <rPr>
        <sz val="20"/>
        <color rgb="FF000000"/>
        <rFont val="Calibri"/>
        <family val="2"/>
      </rPr>
      <t xml:space="preserve">17:02 </t>
    </r>
  </si>
  <si>
    <r>
      <rPr>
        <sz val="20"/>
        <color rgb="FF000000"/>
        <rFont val="Calibri"/>
        <family val="2"/>
      </rPr>
      <t xml:space="preserve">17:41 </t>
    </r>
  </si>
  <si>
    <r>
      <rPr>
        <sz val="20"/>
        <color rgb="FF000000"/>
        <rFont val="Calibri"/>
        <family val="2"/>
      </rPr>
      <t xml:space="preserve">18:02 </t>
    </r>
  </si>
  <si>
    <r>
      <rPr>
        <sz val="20"/>
        <color rgb="FF000000"/>
        <rFont val="Calibri"/>
        <family val="2"/>
      </rPr>
      <t xml:space="preserve">18:47 </t>
    </r>
  </si>
  <si>
    <r>
      <rPr>
        <sz val="20"/>
        <color rgb="FF000000"/>
        <rFont val="Calibri"/>
        <family val="2"/>
      </rPr>
      <t xml:space="preserve">19:43 </t>
    </r>
  </si>
  <si>
    <r>
      <rPr>
        <sz val="20"/>
        <color rgb="FF000000"/>
        <rFont val="Calibri"/>
        <family val="2"/>
      </rPr>
      <t xml:space="preserve">21:42 </t>
    </r>
  </si>
  <si>
    <r>
      <rPr>
        <sz val="20"/>
        <color rgb="FF000000"/>
        <rFont val="Calibri"/>
        <family val="2"/>
      </rPr>
      <t xml:space="preserve">22:49 </t>
    </r>
  </si>
  <si>
    <r>
      <rPr>
        <sz val="20"/>
        <color rgb="FF000000"/>
        <rFont val="Cambria"/>
        <family val="1"/>
      </rPr>
      <t xml:space="preserve">Roobuka </t>
    </r>
  </si>
  <si>
    <r>
      <rPr>
        <sz val="20"/>
        <color rgb="FF000000"/>
        <rFont val="Calibri"/>
        <family val="2"/>
      </rPr>
      <t xml:space="preserve">9:08 </t>
    </r>
  </si>
  <si>
    <r>
      <rPr>
        <sz val="20"/>
        <color rgb="FF000000"/>
        <rFont val="Calibri"/>
        <family val="2"/>
      </rPr>
      <t xml:space="preserve">10:37 </t>
    </r>
  </si>
  <si>
    <r>
      <rPr>
        <sz val="20"/>
        <color rgb="FF000000"/>
        <rFont val="Calibri"/>
        <family val="2"/>
      </rPr>
      <t xml:space="preserve">13:34 </t>
    </r>
  </si>
  <si>
    <r>
      <rPr>
        <sz val="20"/>
        <color rgb="FF000000"/>
        <rFont val="Calibri"/>
        <family val="2"/>
      </rPr>
      <t xml:space="preserve">14:20 </t>
    </r>
  </si>
  <si>
    <r>
      <rPr>
        <sz val="20"/>
        <color rgb="FF000000"/>
        <rFont val="Calibri"/>
        <family val="2"/>
      </rPr>
      <t xml:space="preserve">16:15 </t>
    </r>
  </si>
  <si>
    <r>
      <rPr>
        <sz val="20"/>
        <color rgb="FF000000"/>
        <rFont val="Calibri"/>
        <family val="2"/>
      </rPr>
      <t xml:space="preserve">17:04 </t>
    </r>
  </si>
  <si>
    <r>
      <rPr>
        <sz val="20"/>
        <color rgb="FF000000"/>
        <rFont val="Calibri"/>
        <family val="2"/>
      </rPr>
      <t xml:space="preserve">17:43 </t>
    </r>
  </si>
  <si>
    <r>
      <rPr>
        <sz val="20"/>
        <color rgb="FF000000"/>
        <rFont val="Calibri"/>
        <family val="2"/>
      </rPr>
      <t xml:space="preserve">18:49 </t>
    </r>
  </si>
  <si>
    <r>
      <rPr>
        <sz val="20"/>
        <color rgb="FF000000"/>
        <rFont val="Calibri"/>
        <family val="2"/>
      </rPr>
      <t xml:space="preserve">19:45 </t>
    </r>
  </si>
  <si>
    <r>
      <rPr>
        <sz val="20"/>
        <color rgb="FF000000"/>
        <rFont val="Calibri"/>
        <family val="2"/>
      </rPr>
      <t xml:space="preserve">21:44 </t>
    </r>
  </si>
  <si>
    <r>
      <rPr>
        <sz val="20"/>
        <color rgb="FF000000"/>
        <rFont val="Calibri"/>
        <family val="2"/>
      </rPr>
      <t xml:space="preserve">22:51 </t>
    </r>
  </si>
  <si>
    <r>
      <rPr>
        <sz val="20"/>
        <color rgb="FF000000"/>
        <rFont val="Cambria"/>
        <family val="1"/>
      </rPr>
      <t xml:space="preserve">Vilivere </t>
    </r>
  </si>
  <si>
    <r>
      <rPr>
        <sz val="20"/>
        <color rgb="FF000000"/>
        <rFont val="Calibri"/>
        <family val="2"/>
      </rPr>
      <t xml:space="preserve">9:11 </t>
    </r>
  </si>
  <si>
    <r>
      <rPr>
        <sz val="20"/>
        <color rgb="FF000000"/>
        <rFont val="Calibri"/>
        <family val="2"/>
      </rPr>
      <t xml:space="preserve">10:40 </t>
    </r>
  </si>
  <si>
    <r>
      <rPr>
        <sz val="20"/>
        <color rgb="FF000000"/>
        <rFont val="Calibri"/>
        <family val="2"/>
      </rPr>
      <t xml:space="preserve">13:37 </t>
    </r>
  </si>
  <si>
    <r>
      <rPr>
        <sz val="20"/>
        <color rgb="FF000000"/>
        <rFont val="Calibri"/>
        <family val="2"/>
      </rPr>
      <t xml:space="preserve">14:23 </t>
    </r>
  </si>
  <si>
    <r>
      <rPr>
        <sz val="20"/>
        <color rgb="FF000000"/>
        <rFont val="Calibri"/>
        <family val="2"/>
      </rPr>
      <t xml:space="preserve">16:18 </t>
    </r>
  </si>
  <si>
    <r>
      <rPr>
        <sz val="20"/>
        <color rgb="FF000000"/>
        <rFont val="Calibri"/>
        <family val="2"/>
      </rPr>
      <t xml:space="preserve">17:07 </t>
    </r>
  </si>
  <si>
    <r>
      <rPr>
        <sz val="20"/>
        <color rgb="FF000000"/>
        <rFont val="Calibri"/>
        <family val="2"/>
      </rPr>
      <t xml:space="preserve">17:46 </t>
    </r>
  </si>
  <si>
    <r>
      <rPr>
        <sz val="20"/>
        <color rgb="FF000000"/>
        <rFont val="Calibri"/>
        <family val="2"/>
      </rPr>
      <t xml:space="preserve">18:52 </t>
    </r>
  </si>
  <si>
    <r>
      <rPr>
        <sz val="20"/>
        <color rgb="FF000000"/>
        <rFont val="Calibri"/>
        <family val="2"/>
      </rPr>
      <t xml:space="preserve">19:48 </t>
    </r>
  </si>
  <si>
    <r>
      <rPr>
        <sz val="20"/>
        <color rgb="FF000000"/>
        <rFont val="Calibri"/>
        <family val="2"/>
      </rPr>
      <t xml:space="preserve">21:47 </t>
    </r>
  </si>
  <si>
    <r>
      <rPr>
        <sz val="20"/>
        <color rgb="FF000000"/>
        <rFont val="Calibri"/>
        <family val="2"/>
      </rPr>
      <t xml:space="preserve">22:54 </t>
    </r>
  </si>
  <si>
    <r>
      <rPr>
        <sz val="20"/>
        <color rgb="FF000000"/>
        <rFont val="Cambria"/>
        <family val="1"/>
      </rPr>
      <t xml:space="preserve">Kohila </t>
    </r>
  </si>
  <si>
    <r>
      <rPr>
        <sz val="20"/>
        <color rgb="FF000000"/>
        <rFont val="Calibri"/>
        <family val="2"/>
      </rPr>
      <t xml:space="preserve">8:20 </t>
    </r>
  </si>
  <si>
    <r>
      <rPr>
        <sz val="20"/>
        <color rgb="FF000000"/>
        <rFont val="Calibri"/>
        <family val="2"/>
      </rPr>
      <t xml:space="preserve">9:16 </t>
    </r>
  </si>
  <si>
    <r>
      <rPr>
        <sz val="20"/>
        <color rgb="FF000000"/>
        <rFont val="Calibri"/>
        <family val="2"/>
      </rPr>
      <t xml:space="preserve">10:46 </t>
    </r>
  </si>
  <si>
    <r>
      <rPr>
        <sz val="20"/>
        <color rgb="FF000000"/>
        <rFont val="Calibri"/>
        <family val="2"/>
      </rPr>
      <t xml:space="preserve">12:15 </t>
    </r>
  </si>
  <si>
    <r>
      <rPr>
        <sz val="20"/>
        <color rgb="FF000000"/>
        <rFont val="Calibri"/>
        <family val="2"/>
      </rPr>
      <t xml:space="preserve">13:42 </t>
    </r>
  </si>
  <si>
    <r>
      <rPr>
        <sz val="20"/>
        <color rgb="FF000000"/>
        <rFont val="Calibri"/>
        <family val="2"/>
      </rPr>
      <t xml:space="preserve">14:28 </t>
    </r>
  </si>
  <si>
    <r>
      <rPr>
        <sz val="20"/>
        <color rgb="FF000000"/>
        <rFont val="Calibri"/>
        <family val="2"/>
      </rPr>
      <t xml:space="preserve">15:18 </t>
    </r>
  </si>
  <si>
    <r>
      <rPr>
        <sz val="20"/>
        <color rgb="FF000000"/>
        <rFont val="Calibri"/>
        <family val="2"/>
      </rPr>
      <t xml:space="preserve">16:23 </t>
    </r>
  </si>
  <si>
    <r>
      <rPr>
        <sz val="20"/>
        <color rgb="FF000000"/>
        <rFont val="Calibri"/>
        <family val="2"/>
      </rPr>
      <t xml:space="preserve">17:12 </t>
    </r>
  </si>
  <si>
    <r>
      <rPr>
        <sz val="20"/>
        <color rgb="FF000000"/>
        <rFont val="Calibri"/>
        <family val="2"/>
      </rPr>
      <t xml:space="preserve">17:51 </t>
    </r>
  </si>
  <si>
    <r>
      <rPr>
        <sz val="20"/>
        <color rgb="FF000000"/>
        <rFont val="Calibri"/>
        <family val="2"/>
      </rPr>
      <t xml:space="preserve">18:09 </t>
    </r>
  </si>
  <si>
    <r>
      <rPr>
        <sz val="20"/>
        <color rgb="FF000000"/>
        <rFont val="Calibri"/>
        <family val="2"/>
      </rPr>
      <t xml:space="preserve">18:57 </t>
    </r>
  </si>
  <si>
    <r>
      <rPr>
        <sz val="20"/>
        <color rgb="FF000000"/>
        <rFont val="Calibri"/>
        <family val="2"/>
      </rPr>
      <t xml:space="preserve">19:53 </t>
    </r>
  </si>
  <si>
    <r>
      <rPr>
        <sz val="20"/>
        <color rgb="FF000000"/>
        <rFont val="Calibri"/>
        <family val="2"/>
      </rPr>
      <t xml:space="preserve">21:52 </t>
    </r>
  </si>
  <si>
    <r>
      <rPr>
        <sz val="20"/>
        <color rgb="FF000000"/>
        <rFont val="Calibri"/>
        <family val="2"/>
      </rPr>
      <t xml:space="preserve">22:59 </t>
    </r>
  </si>
  <si>
    <r>
      <rPr>
        <sz val="20"/>
        <color rgb="FF000000"/>
        <rFont val="Cambria"/>
        <family val="1"/>
      </rPr>
      <t xml:space="preserve">Lohu </t>
    </r>
  </si>
  <si>
    <r>
      <rPr>
        <sz val="20"/>
        <color rgb="FF000000"/>
        <rFont val="Calibri"/>
        <family val="2"/>
      </rPr>
      <t xml:space="preserve">9:21 </t>
    </r>
  </si>
  <si>
    <r>
      <rPr>
        <sz val="20"/>
        <color rgb="FF000000"/>
        <rFont val="Calibri"/>
        <family val="2"/>
      </rPr>
      <t xml:space="preserve">10:51 </t>
    </r>
  </si>
  <si>
    <r>
      <rPr>
        <sz val="20"/>
        <color rgb="FF000000"/>
        <rFont val="Calibri"/>
        <family val="2"/>
      </rPr>
      <t xml:space="preserve">13:47 </t>
    </r>
  </si>
  <si>
    <r>
      <rPr>
        <sz val="20"/>
        <color rgb="FF000000"/>
        <rFont val="Calibri"/>
        <family val="2"/>
      </rPr>
      <t xml:space="preserve">14:33 </t>
    </r>
  </si>
  <si>
    <r>
      <rPr>
        <sz val="20"/>
        <color rgb="FF000000"/>
        <rFont val="Calibri"/>
        <family val="2"/>
      </rPr>
      <t xml:space="preserve">16:28 </t>
    </r>
  </si>
  <si>
    <r>
      <rPr>
        <sz val="20"/>
        <color rgb="FF000000"/>
        <rFont val="Calibri"/>
        <family val="2"/>
      </rPr>
      <t xml:space="preserve">17:17 </t>
    </r>
  </si>
  <si>
    <r>
      <rPr>
        <sz val="20"/>
        <color rgb="FF000000"/>
        <rFont val="Calibri"/>
        <family val="2"/>
      </rPr>
      <t xml:space="preserve">17:56 </t>
    </r>
  </si>
  <si>
    <r>
      <rPr>
        <sz val="20"/>
        <color rgb="FF000000"/>
        <rFont val="Calibri"/>
        <family val="2"/>
      </rPr>
      <t xml:space="preserve">19:02 </t>
    </r>
  </si>
  <si>
    <r>
      <rPr>
        <sz val="20"/>
        <color rgb="FF000000"/>
        <rFont val="Calibri"/>
        <family val="2"/>
      </rPr>
      <t xml:space="preserve">19:58 </t>
    </r>
  </si>
  <si>
    <r>
      <rPr>
        <sz val="20"/>
        <color rgb="FF000000"/>
        <rFont val="Calibri"/>
        <family val="2"/>
      </rPr>
      <t xml:space="preserve">21:57 </t>
    </r>
  </si>
  <si>
    <r>
      <rPr>
        <sz val="20"/>
        <color rgb="FF000000"/>
        <rFont val="Calibri"/>
        <family val="2"/>
      </rPr>
      <t xml:space="preserve">23:04 </t>
    </r>
  </si>
  <si>
    <r>
      <rPr>
        <sz val="20"/>
        <color rgb="FF000000"/>
        <rFont val="Cambria"/>
        <family val="1"/>
      </rPr>
      <t xml:space="preserve">Hagudi </t>
    </r>
  </si>
  <si>
    <r>
      <rPr>
        <sz val="20"/>
        <color rgb="FF000000"/>
        <rFont val="Calibri"/>
        <family val="2"/>
      </rPr>
      <t xml:space="preserve">9:26 </t>
    </r>
  </si>
  <si>
    <r>
      <rPr>
        <sz val="20"/>
        <color rgb="FF000000"/>
        <rFont val="Calibri"/>
        <family val="2"/>
      </rPr>
      <t xml:space="preserve">10:56 </t>
    </r>
  </si>
  <si>
    <r>
      <rPr>
        <sz val="20"/>
        <color rgb="FF000000"/>
        <rFont val="Calibri"/>
        <family val="2"/>
      </rPr>
      <t xml:space="preserve">13:52 </t>
    </r>
  </si>
  <si>
    <r>
      <rPr>
        <sz val="20"/>
        <color rgb="FF000000"/>
        <rFont val="Calibri"/>
        <family val="2"/>
      </rPr>
      <t xml:space="preserve">14:38 </t>
    </r>
  </si>
  <si>
    <r>
      <rPr>
        <sz val="20"/>
        <color rgb="FF000000"/>
        <rFont val="Calibri"/>
        <family val="2"/>
      </rPr>
      <t xml:space="preserve">16:33 </t>
    </r>
  </si>
  <si>
    <r>
      <rPr>
        <sz val="20"/>
        <color rgb="FF000000"/>
        <rFont val="Calibri"/>
        <family val="2"/>
      </rPr>
      <t xml:space="preserve">17:22 </t>
    </r>
  </si>
  <si>
    <r>
      <rPr>
        <sz val="20"/>
        <color rgb="FF000000"/>
        <rFont val="Calibri"/>
        <family val="2"/>
      </rPr>
      <t xml:space="preserve">18:01 </t>
    </r>
  </si>
  <si>
    <r>
      <rPr>
        <sz val="20"/>
        <color rgb="FF000000"/>
        <rFont val="Calibri"/>
        <family val="2"/>
      </rPr>
      <t xml:space="preserve">19:07 </t>
    </r>
  </si>
  <si>
    <r>
      <rPr>
        <sz val="20"/>
        <color rgb="FF000000"/>
        <rFont val="Calibri"/>
        <family val="2"/>
      </rPr>
      <t xml:space="preserve">20:03 </t>
    </r>
  </si>
  <si>
    <r>
      <rPr>
        <sz val="20"/>
        <color rgb="FF000000"/>
        <rFont val="Calibri"/>
        <family val="2"/>
      </rPr>
      <t xml:space="preserve">22:02 </t>
    </r>
  </si>
  <si>
    <r>
      <rPr>
        <sz val="20"/>
        <color rgb="FF000000"/>
        <rFont val="Calibri"/>
        <family val="2"/>
      </rPr>
      <t xml:space="preserve">23:09 </t>
    </r>
  </si>
  <si>
    <r>
      <rPr>
        <sz val="20"/>
        <color rgb="FF000000"/>
        <rFont val="Cambria"/>
        <family val="1"/>
      </rPr>
      <t xml:space="preserve">Rapla </t>
    </r>
  </si>
  <si>
    <r>
      <rPr>
        <sz val="20"/>
        <color rgb="FF000000"/>
        <rFont val="Calibri"/>
        <family val="2"/>
      </rPr>
      <t xml:space="preserve">8:37 </t>
    </r>
  </si>
  <si>
    <r>
      <rPr>
        <sz val="20"/>
        <color rgb="FF000000"/>
        <rFont val="Calibri"/>
        <family val="2"/>
      </rPr>
      <t xml:space="preserve">9:33 </t>
    </r>
  </si>
  <si>
    <r>
      <rPr>
        <sz val="20"/>
        <color rgb="FF000000"/>
        <rFont val="Calibri"/>
        <family val="2"/>
      </rPr>
      <t xml:space="preserve">11:04 </t>
    </r>
  </si>
  <si>
    <r>
      <rPr>
        <sz val="20"/>
        <color rgb="FF000000"/>
        <rFont val="Calibri"/>
        <family val="2"/>
      </rPr>
      <t xml:space="preserve">12:31 </t>
    </r>
  </si>
  <si>
    <r>
      <rPr>
        <sz val="20"/>
        <color rgb="FF000000"/>
        <rFont val="Calibri"/>
        <family val="2"/>
      </rPr>
      <t xml:space="preserve">13:59 </t>
    </r>
  </si>
  <si>
    <r>
      <rPr>
        <sz val="20"/>
        <color rgb="FF000000"/>
        <rFont val="Calibri"/>
        <family val="2"/>
      </rPr>
      <t xml:space="preserve">14:45 </t>
    </r>
  </si>
  <si>
    <r>
      <rPr>
        <sz val="20"/>
        <color rgb="FF000000"/>
        <rFont val="Calibri"/>
        <family val="2"/>
      </rPr>
      <t xml:space="preserve">15:34 </t>
    </r>
  </si>
  <si>
    <r>
      <rPr>
        <sz val="20"/>
        <color rgb="FF000000"/>
        <rFont val="Calibri"/>
        <family val="2"/>
      </rPr>
      <t xml:space="preserve">16:40 </t>
    </r>
  </si>
  <si>
    <r>
      <rPr>
        <sz val="20"/>
        <color rgb="FF000000"/>
        <rFont val="Calibri"/>
        <family val="2"/>
      </rPr>
      <t xml:space="preserve">17:30 </t>
    </r>
  </si>
  <si>
    <r>
      <rPr>
        <sz val="20"/>
        <color rgb="FF000000"/>
        <rFont val="Calibri"/>
        <family val="2"/>
      </rPr>
      <t xml:space="preserve">18:08 </t>
    </r>
  </si>
  <si>
    <r>
      <rPr>
        <sz val="20"/>
        <color rgb="FF000000"/>
        <rFont val="Calibri"/>
        <family val="2"/>
      </rPr>
      <t xml:space="preserve">18:25 </t>
    </r>
  </si>
  <si>
    <r>
      <rPr>
        <sz val="20"/>
        <color rgb="FF000000"/>
        <rFont val="Calibri"/>
        <family val="2"/>
      </rPr>
      <t xml:space="preserve">19:14 </t>
    </r>
  </si>
  <si>
    <r>
      <rPr>
        <sz val="20"/>
        <color rgb="FF000000"/>
        <rFont val="Calibri"/>
        <family val="2"/>
      </rPr>
      <t xml:space="preserve">20:11 </t>
    </r>
  </si>
  <si>
    <r>
      <rPr>
        <sz val="20"/>
        <color rgb="FF000000"/>
        <rFont val="Calibri"/>
        <family val="2"/>
      </rPr>
      <t xml:space="preserve">22:09 </t>
    </r>
  </si>
  <si>
    <r>
      <rPr>
        <sz val="20"/>
        <color rgb="FF000000"/>
        <rFont val="Calibri"/>
        <family val="2"/>
      </rPr>
      <t xml:space="preserve">23:17 </t>
    </r>
  </si>
  <si>
    <r>
      <rPr>
        <sz val="20"/>
        <color rgb="FF000000"/>
        <rFont val="Cambria"/>
        <family val="1"/>
      </rPr>
      <t xml:space="preserve">Keava </t>
    </r>
  </si>
  <si>
    <r>
      <rPr>
        <sz val="20"/>
        <color rgb="FF000000"/>
        <rFont val="Calibri"/>
        <family val="2"/>
      </rPr>
      <t xml:space="preserve">11:10 </t>
    </r>
  </si>
  <si>
    <r>
      <rPr>
        <sz val="20"/>
        <color rgb="FF000000"/>
        <rFont val="Calibri"/>
        <family val="2"/>
      </rPr>
      <t xml:space="preserve">12:37 </t>
    </r>
  </si>
  <si>
    <r>
      <rPr>
        <sz val="20"/>
        <color rgb="FF000000"/>
        <rFont val="Calibri"/>
        <family val="2"/>
      </rPr>
      <t xml:space="preserve">15:40 </t>
    </r>
  </si>
  <si>
    <r>
      <rPr>
        <sz val="20"/>
        <color rgb="FF000000"/>
        <rFont val="Calibri"/>
        <family val="2"/>
      </rPr>
      <t xml:space="preserve">17:36 </t>
    </r>
  </si>
  <si>
    <r>
      <rPr>
        <sz val="20"/>
        <color rgb="FF000000"/>
        <rFont val="Calibri"/>
        <family val="2"/>
      </rPr>
      <t xml:space="preserve">20:17 </t>
    </r>
  </si>
  <si>
    <r>
      <rPr>
        <sz val="20"/>
        <color rgb="FF000000"/>
        <rFont val="Calibri"/>
        <family val="2"/>
      </rPr>
      <t xml:space="preserve">23:23 </t>
    </r>
  </si>
  <si>
    <r>
      <rPr>
        <sz val="20"/>
        <color rgb="FF000000"/>
        <rFont val="Cambria"/>
        <family val="1"/>
      </rPr>
      <t xml:space="preserve">Lelle </t>
    </r>
  </si>
  <si>
    <r>
      <rPr>
        <sz val="20"/>
        <color rgb="FF000000"/>
        <rFont val="Calibri"/>
        <family val="2"/>
      </rPr>
      <t xml:space="preserve">8:53 </t>
    </r>
  </si>
  <si>
    <r>
      <rPr>
        <sz val="20"/>
        <color rgb="FF000000"/>
        <rFont val="Calibri"/>
        <family val="2"/>
      </rPr>
      <t xml:space="preserve">11:20 </t>
    </r>
  </si>
  <si>
    <r>
      <rPr>
        <sz val="20"/>
        <color rgb="FF000000"/>
        <rFont val="Calibri"/>
        <family val="2"/>
      </rPr>
      <t xml:space="preserve">12:47 </t>
    </r>
  </si>
  <si>
    <r>
      <rPr>
        <sz val="20"/>
        <color rgb="FF000000"/>
        <rFont val="Calibri"/>
        <family val="2"/>
      </rPr>
      <t xml:space="preserve">18:41 </t>
    </r>
  </si>
  <si>
    <r>
      <rPr>
        <sz val="20"/>
        <color rgb="FF000000"/>
        <rFont val="Calibri"/>
        <family val="2"/>
      </rPr>
      <t xml:space="preserve">23:33 </t>
    </r>
  </si>
  <si>
    <r>
      <rPr>
        <sz val="20"/>
        <color rgb="FF000000"/>
        <rFont val="Calibri"/>
        <family val="2"/>
      </rPr>
      <t xml:space="preserve">8:59 </t>
    </r>
  </si>
  <si>
    <r>
      <rPr>
        <sz val="20"/>
        <color rgb="FF000000"/>
        <rFont val="Calibri"/>
        <family val="2"/>
      </rPr>
      <t xml:space="preserve">11:26 </t>
    </r>
  </si>
  <si>
    <r>
      <rPr>
        <sz val="20"/>
        <color rgb="FF000000"/>
        <rFont val="Calibri"/>
        <family val="2"/>
      </rPr>
      <t xml:space="preserve">12:53 </t>
    </r>
  </si>
  <si>
    <r>
      <rPr>
        <sz val="20"/>
        <color rgb="FF000000"/>
        <rFont val="Calibri"/>
        <family val="2"/>
      </rPr>
      <t xml:space="preserve">15:56 </t>
    </r>
  </si>
  <si>
    <r>
      <rPr>
        <sz val="20"/>
        <color rgb="FF000000"/>
        <rFont val="Calibri"/>
        <family val="2"/>
      </rPr>
      <t xml:space="preserve">17:52 </t>
    </r>
  </si>
  <si>
    <r>
      <rPr>
        <sz val="20"/>
        <color rgb="FF000000"/>
        <rFont val="Calibri"/>
        <family val="2"/>
      </rPr>
      <t xml:space="preserve">20:33 </t>
    </r>
  </si>
  <si>
    <r>
      <rPr>
        <sz val="20"/>
        <color rgb="FF000000"/>
        <rFont val="Calibri"/>
        <family val="2"/>
      </rPr>
      <t xml:space="preserve">23:39 </t>
    </r>
  </si>
  <si>
    <r>
      <rPr>
        <sz val="20"/>
        <color rgb="FF000000"/>
        <rFont val="Cambria"/>
        <family val="1"/>
      </rPr>
      <t xml:space="preserve">Türi </t>
    </r>
  </si>
  <si>
    <r>
      <rPr>
        <sz val="20"/>
        <color rgb="FF000000"/>
        <rFont val="Calibri"/>
        <family val="2"/>
      </rPr>
      <t xml:space="preserve">9:12 </t>
    </r>
  </si>
  <si>
    <r>
      <rPr>
        <sz val="20"/>
        <color rgb="FF000000"/>
        <rFont val="Calibri"/>
        <family val="2"/>
      </rPr>
      <t xml:space="preserve">11:38 </t>
    </r>
  </si>
  <si>
    <r>
      <rPr>
        <sz val="20"/>
        <color rgb="FF000000"/>
        <rFont val="Calibri"/>
        <family val="2"/>
      </rPr>
      <t xml:space="preserve">13:06 </t>
    </r>
  </si>
  <si>
    <r>
      <rPr>
        <sz val="20"/>
        <color rgb="FF000000"/>
        <rFont val="Calibri"/>
        <family val="2"/>
      </rPr>
      <t xml:space="preserve">18:04 </t>
    </r>
  </si>
  <si>
    <r>
      <rPr>
        <sz val="20"/>
        <color rgb="FF000000"/>
        <rFont val="Calibri"/>
        <family val="2"/>
      </rPr>
      <t xml:space="preserve">19:00 </t>
    </r>
  </si>
  <si>
    <r>
      <rPr>
        <sz val="20"/>
        <color rgb="FF000000"/>
        <rFont val="Calibri"/>
        <family val="2"/>
      </rPr>
      <t xml:space="preserve">20:45 </t>
    </r>
  </si>
  <si>
    <r>
      <rPr>
        <sz val="20"/>
        <color rgb="FF000000"/>
        <rFont val="Calibri"/>
        <family val="2"/>
      </rPr>
      <t xml:space="preserve">23:51 </t>
    </r>
  </si>
  <si>
    <r>
      <rPr>
        <sz val="20"/>
        <color rgb="FF000000"/>
        <rFont val="Calibri"/>
        <family val="2"/>
      </rPr>
      <t xml:space="preserve">19:04 </t>
    </r>
  </si>
  <si>
    <r>
      <rPr>
        <sz val="20"/>
        <color rgb="FF000000"/>
        <rFont val="Calibri"/>
        <family val="2"/>
      </rPr>
      <t xml:space="preserve">13:15 </t>
    </r>
  </si>
  <si>
    <r>
      <rPr>
        <sz val="20"/>
        <color rgb="FF000000"/>
        <rFont val="Calibri"/>
        <family val="2"/>
      </rPr>
      <t xml:space="preserve">19:09 </t>
    </r>
  </si>
  <si>
    <r>
      <rPr>
        <sz val="20"/>
        <color rgb="FF000000"/>
        <rFont val="Calibri"/>
        <family val="2"/>
      </rPr>
      <t xml:space="preserve">13:20 </t>
    </r>
  </si>
  <si>
    <r>
      <rPr>
        <sz val="20"/>
        <color rgb="FF000000"/>
        <rFont val="Cambria"/>
        <family val="1"/>
      </rPr>
      <t xml:space="preserve">Võhma </t>
    </r>
  </si>
  <si>
    <r>
      <rPr>
        <sz val="20"/>
        <color rgb="FF000000"/>
        <rFont val="Calibri"/>
        <family val="2"/>
      </rPr>
      <t xml:space="preserve">9:30 </t>
    </r>
  </si>
  <si>
    <r>
      <rPr>
        <sz val="20"/>
        <color rgb="FF000000"/>
        <rFont val="Calibri"/>
        <family val="2"/>
      </rPr>
      <t xml:space="preserve">16:27 </t>
    </r>
  </si>
  <si>
    <r>
      <rPr>
        <sz val="20"/>
        <color rgb="FF000000"/>
        <rFont val="Calibri"/>
        <family val="2"/>
      </rPr>
      <t xml:space="preserve">19:18 </t>
    </r>
  </si>
  <si>
    <r>
      <rPr>
        <sz val="20"/>
        <color rgb="FF000000"/>
        <rFont val="Cambria"/>
        <family val="1"/>
      </rPr>
      <t xml:space="preserve">Olustvere </t>
    </r>
  </si>
  <si>
    <r>
      <rPr>
        <sz val="20"/>
        <color rgb="FF000000"/>
        <rFont val="Calibri"/>
        <family val="2"/>
      </rPr>
      <t xml:space="preserve">9:37 </t>
    </r>
  </si>
  <si>
    <r>
      <rPr>
        <sz val="20"/>
        <color rgb="FF000000"/>
        <rFont val="Calibri"/>
        <family val="2"/>
      </rPr>
      <t xml:space="preserve">13:31 </t>
    </r>
  </si>
  <si>
    <r>
      <rPr>
        <sz val="20"/>
        <color rgb="FF000000"/>
        <rFont val="Calibri"/>
        <family val="2"/>
      </rPr>
      <t xml:space="preserve">16:34 </t>
    </r>
  </si>
  <si>
    <r>
      <rPr>
        <sz val="20"/>
        <color rgb="FF000000"/>
        <rFont val="Calibri"/>
        <family val="2"/>
      </rPr>
      <t xml:space="preserve">9:43 </t>
    </r>
  </si>
  <si>
    <r>
      <rPr>
        <sz val="20"/>
        <color rgb="FF000000"/>
        <rFont val="Cambria"/>
        <family val="1"/>
      </rPr>
      <t xml:space="preserve">Viljandi </t>
    </r>
  </si>
  <si>
    <r>
      <rPr>
        <sz val="20"/>
        <color rgb="FF000000"/>
        <rFont val="Calibri"/>
        <family val="2"/>
      </rPr>
      <t xml:space="preserve">9:53 </t>
    </r>
  </si>
  <si>
    <r>
      <rPr>
        <sz val="20"/>
        <color rgb="FF000000"/>
        <rFont val="Calibri"/>
        <family val="2"/>
      </rPr>
      <t xml:space="preserve">19:41 </t>
    </r>
  </si>
  <si>
    <r>
      <rPr>
        <sz val="20"/>
        <color rgb="FF000000"/>
        <rFont val="Cambria"/>
        <family val="1"/>
      </rPr>
      <t xml:space="preserve">ekspressrong / express train </t>
    </r>
  </si>
  <si>
    <r>
      <rPr>
        <sz val="24"/>
        <color rgb="FF000000"/>
        <rFont val="Cambria"/>
        <family val="1"/>
      </rPr>
      <t xml:space="preserve">L  </t>
    </r>
  </si>
  <si>
    <r>
      <rPr>
        <sz val="15"/>
        <color rgb="FF000000"/>
        <rFont val="Cambria"/>
        <family val="1"/>
      </rPr>
      <t xml:space="preserve">lühike ooteplatvorm. Rongist väljumine toimub ainult läbi C-ala, haakes rongi puhul läbi sõidusuunas oleva esimese rongi C-ala / Exiting the train is  
</t>
    </r>
    <r>
      <rPr>
        <sz val="15"/>
        <color rgb="FF000000"/>
        <rFont val="Cambria"/>
        <family val="1"/>
      </rPr>
      <t xml:space="preserve">possible using the C-car of the train only. In case 2 trains are coupled together, exiting is only possible from the train at the front. Please be sure to  
</t>
    </r>
    <r>
      <rPr>
        <sz val="15"/>
        <color rgb="FF000000"/>
        <rFont val="Cambria"/>
        <family val="1"/>
      </rPr>
      <t xml:space="preserve">choose the right train when boarding!  </t>
    </r>
  </si>
  <si>
    <r>
      <rPr>
        <sz val="18"/>
        <color rgb="FF0070C0"/>
        <rFont val="Cambria"/>
        <family val="1"/>
      </rPr>
      <t xml:space="preserve">T -  tööpäeviti / working days </t>
    </r>
  </si>
  <si>
    <r>
      <rPr>
        <sz val="18"/>
        <color rgb="FFFF0000"/>
        <rFont val="Cambria"/>
        <family val="1"/>
      </rPr>
      <t xml:space="preserve">LP -  puhkepäeviti ja riiklikel pühadel / weekends and national holidays </t>
    </r>
  </si>
  <si>
    <t>Käru</t>
  </si>
  <si>
    <t>Taikse</t>
  </si>
  <si>
    <t>Kärevere</t>
  </si>
  <si>
    <t>Ollepa</t>
  </si>
  <si>
    <t>Võhma</t>
  </si>
  <si>
    <t>Olustvere</t>
  </si>
  <si>
    <t>Sürgavere</t>
  </si>
  <si>
    <t>Station</t>
  </si>
  <si>
    <t xml:space="preserve">Viljandi </t>
  </si>
  <si>
    <t>Time</t>
  </si>
  <si>
    <t xml:space="preserve">Türi </t>
  </si>
  <si>
    <t xml:space="preserve">Lelle </t>
  </si>
  <si>
    <t xml:space="preserve">Keava </t>
  </si>
  <si>
    <t xml:space="preserve">Rapla </t>
  </si>
  <si>
    <t xml:space="preserve">Hagudi </t>
  </si>
  <si>
    <t xml:space="preserve">Lohu </t>
  </si>
  <si>
    <t xml:space="preserve">Kohila </t>
  </si>
  <si>
    <t xml:space="preserve">Vilivere </t>
  </si>
  <si>
    <t xml:space="preserve">Roobuka </t>
  </si>
  <si>
    <t xml:space="preserve">Kiisa </t>
  </si>
  <si>
    <t xml:space="preserve">Kasemetsa </t>
  </si>
  <si>
    <t xml:space="preserve">Saku </t>
  </si>
  <si>
    <t xml:space="preserve">Männiku </t>
  </si>
  <si>
    <t xml:space="preserve">Valdeku </t>
  </si>
  <si>
    <t xml:space="preserve">Liiva </t>
  </si>
  <si>
    <t xml:space="preserve">Tallinn-Väike </t>
  </si>
  <si>
    <t xml:space="preserve">Tallinn </t>
  </si>
  <si>
    <t>Add info</t>
  </si>
  <si>
    <t>Distribution</t>
  </si>
  <si>
    <t>Day</t>
  </si>
  <si>
    <t>Evening</t>
  </si>
  <si>
    <t>Night</t>
  </si>
  <si>
    <t>Trains</t>
  </si>
  <si>
    <t>Percent</t>
  </si>
  <si>
    <t xml:space="preserve">6:04 </t>
  </si>
  <si>
    <t xml:space="preserve">6:20 </t>
  </si>
  <si>
    <t xml:space="preserve">11:13 </t>
  </si>
  <si>
    <t>Sum</t>
  </si>
  <si>
    <t>Direction</t>
  </si>
  <si>
    <t>Edelasuund</t>
  </si>
  <si>
    <t>IDASUUNA</t>
  </si>
  <si>
    <t>SÕIDUPLAAN</t>
  </si>
  <si>
    <t>ALATES</t>
  </si>
  <si>
    <t>MÄRTSIST</t>
  </si>
  <si>
    <t>/</t>
  </si>
  <si>
    <t>Eastbound</t>
  </si>
  <si>
    <t>trains</t>
  </si>
  <si>
    <t>timetable</t>
  </si>
  <si>
    <t>from</t>
  </si>
  <si>
    <t>March</t>
  </si>
  <si>
    <t>Narva</t>
  </si>
  <si>
    <t>Vaivara</t>
  </si>
  <si>
    <t>L</t>
  </si>
  <si>
    <t>-</t>
  </si>
  <si>
    <t>Oru</t>
  </si>
  <si>
    <t>Jõhvi</t>
  </si>
  <si>
    <t>Kohtla-Nõmme</t>
  </si>
  <si>
    <t>Püssi</t>
  </si>
  <si>
    <t>Kiviõli</t>
  </si>
  <si>
    <t>Sonda</t>
  </si>
  <si>
    <t>Kabala</t>
  </si>
  <si>
    <t>Rakvere</t>
  </si>
  <si>
    <t>Kadrina</t>
  </si>
  <si>
    <t>saabub Koidulast</t>
  </si>
  <si>
    <t>E-R</t>
  </si>
  <si>
    <t>LP</t>
  </si>
  <si>
    <t>saabub Valgast</t>
  </si>
  <si>
    <t>Tartu</t>
  </si>
  <si>
    <t>Kärkna</t>
  </si>
  <si>
    <t>Tabivere</t>
  </si>
  <si>
    <t>Kaarepere</t>
  </si>
  <si>
    <t>Jõgeva</t>
  </si>
  <si>
    <t>Pedja</t>
  </si>
  <si>
    <t>Vägeva</t>
  </si>
  <si>
    <t>Rakke</t>
  </si>
  <si>
    <t>Kiltsi</t>
  </si>
  <si>
    <t>Tamsalu</t>
  </si>
  <si>
    <t>Tapa</t>
  </si>
  <si>
    <t>Lehtse</t>
  </si>
  <si>
    <t>Jäneda</t>
  </si>
  <si>
    <t>Nelijärve</t>
  </si>
  <si>
    <t>Aegviidu</t>
  </si>
  <si>
    <t>Mustjõe</t>
  </si>
  <si>
    <t>Lahinguvälja</t>
  </si>
  <si>
    <t>Kehra</t>
  </si>
  <si>
    <t>Parila</t>
  </si>
  <si>
    <t>Raasiku</t>
  </si>
  <si>
    <t>Aruküla</t>
  </si>
  <si>
    <t>Kulli</t>
  </si>
  <si>
    <t>Lagedi</t>
  </si>
  <si>
    <t>Vesse</t>
  </si>
  <si>
    <t>Ülemiste</t>
  </si>
  <si>
    <t>Kitseküla</t>
  </si>
  <si>
    <t>Tallinn</t>
  </si>
  <si>
    <t>Reisi</t>
  </si>
  <si>
    <t>nr</t>
  </si>
  <si>
    <t>T</t>
  </si>
  <si>
    <t>331/11</t>
  </si>
  <si>
    <t>335/17</t>
  </si>
  <si>
    <t>337/63</t>
  </si>
  <si>
    <t>E</t>
  </si>
  <si>
    <t>*R,</t>
  </si>
  <si>
    <t>P</t>
  </si>
  <si>
    <t>käigus</t>
  </si>
  <si>
    <t>ainult</t>
  </si>
  <si>
    <t>reedeti</t>
  </si>
  <si>
    <t>ja</t>
  </si>
  <si>
    <t>pühapäeviti/</t>
  </si>
  <si>
    <t>only</t>
  </si>
  <si>
    <t>on</t>
  </si>
  <si>
    <t>Fridays</t>
  </si>
  <si>
    <t>and</t>
  </si>
  <si>
    <t>Sundays</t>
  </si>
  <si>
    <t>ekspressrong</t>
  </si>
  <si>
    <t>express</t>
  </si>
  <si>
    <t>train</t>
  </si>
  <si>
    <t>10/330</t>
  </si>
  <si>
    <t>14/332</t>
  </si>
  <si>
    <t>18/334</t>
  </si>
  <si>
    <t>60/336</t>
  </si>
  <si>
    <t>väljub Tartust Valka</t>
  </si>
  <si>
    <t>väljub Tartust</t>
  </si>
  <si>
    <t>Koidulasse</t>
  </si>
  <si>
    <t>jätkureisi</t>
  </si>
  <si>
    <t>võimalus</t>
  </si>
  <si>
    <t>Connection</t>
  </si>
  <si>
    <t>available</t>
  </si>
  <si>
    <t>tööpäeviti</t>
  </si>
  <si>
    <t>working</t>
  </si>
  <si>
    <t>days</t>
  </si>
  <si>
    <t>puhkepäeviti</t>
  </si>
  <si>
    <t>riiklikel</t>
  </si>
  <si>
    <t>pühadel</t>
  </si>
  <si>
    <t>weekends</t>
  </si>
  <si>
    <t>national</t>
  </si>
  <si>
    <t>holidays</t>
  </si>
  <si>
    <t>lühike</t>
  </si>
  <si>
    <t>ooteplatvorm.</t>
  </si>
  <si>
    <t>Rongist</t>
  </si>
  <si>
    <t>väljumine</t>
  </si>
  <si>
    <t>toimub</t>
  </si>
  <si>
    <t>läbi</t>
  </si>
  <si>
    <t>C-ala,</t>
  </si>
  <si>
    <t>haakes</t>
  </si>
  <si>
    <t>rongi</t>
  </si>
  <si>
    <t>puhul</t>
  </si>
  <si>
    <t>sõidusuunas</t>
  </si>
  <si>
    <t>oleva</t>
  </si>
  <si>
    <t>esimese</t>
  </si>
  <si>
    <t>C-ala</t>
  </si>
  <si>
    <t>Exiting</t>
  </si>
  <si>
    <t>the</t>
  </si>
  <si>
    <t>is</t>
  </si>
  <si>
    <t>possible</t>
  </si>
  <si>
    <t>using</t>
  </si>
  <si>
    <t>C-car</t>
  </si>
  <si>
    <t>of</t>
  </si>
  <si>
    <t>only.</t>
  </si>
  <si>
    <t>In</t>
  </si>
  <si>
    <t>case</t>
  </si>
  <si>
    <t>are</t>
  </si>
  <si>
    <t>coupled</t>
  </si>
  <si>
    <t>together,</t>
  </si>
  <si>
    <t>exiting</t>
  </si>
  <si>
    <t>at</t>
  </si>
  <si>
    <t>front.</t>
  </si>
  <si>
    <t>Please</t>
  </si>
  <si>
    <t>be</t>
  </si>
  <si>
    <t>sure</t>
  </si>
  <si>
    <t>to</t>
  </si>
  <si>
    <t>choose</t>
  </si>
  <si>
    <t>right</t>
  </si>
  <si>
    <t>when</t>
  </si>
  <si>
    <t>boarding!</t>
  </si>
  <si>
    <t>Idasuund</t>
  </si>
  <si>
    <t>Läänesuund</t>
  </si>
  <si>
    <t>Hiiu</t>
  </si>
  <si>
    <t>Jaanika</t>
  </si>
  <si>
    <t>Järve</t>
  </si>
  <si>
    <t>Keila</t>
  </si>
  <si>
    <t>Kibuna</t>
  </si>
  <si>
    <t>Kivimäe</t>
  </si>
  <si>
    <t>Klooga</t>
  </si>
  <si>
    <t>Klooga-aedlinn</t>
  </si>
  <si>
    <t>Kloogaranna</t>
  </si>
  <si>
    <t>Kulna</t>
  </si>
  <si>
    <t>Laagri</t>
  </si>
  <si>
    <t>Laitse</t>
  </si>
  <si>
    <t>Laoküla</t>
  </si>
  <si>
    <t>Lilleküla</t>
  </si>
  <si>
    <t>Niitvälja</t>
  </si>
  <si>
    <t>Nõmme</t>
  </si>
  <si>
    <t>Padula</t>
  </si>
  <si>
    <t>Paldiski</t>
  </si>
  <si>
    <t>Põllküla</t>
  </si>
  <si>
    <t>Pääsküla</t>
  </si>
  <si>
    <t>Rahumäe</t>
  </si>
  <si>
    <t>Riisipere</t>
  </si>
  <si>
    <t>Saue</t>
  </si>
  <si>
    <t>Tondi</t>
  </si>
  <si>
    <t>Turba</t>
  </si>
  <si>
    <t>Urda</t>
  </si>
  <si>
    <t>Valingu</t>
  </si>
  <si>
    <t>Vasalemma</t>
  </si>
  <si>
    <t>LÄÄNESUUNA</t>
  </si>
  <si>
    <t>SÕIDUPLAAN.</t>
  </si>
  <si>
    <t>KEHTIB</t>
  </si>
  <si>
    <t>Westbound</t>
  </si>
  <si>
    <t>I</t>
  </si>
  <si>
    <t xml:space="preserve">372 LP </t>
  </si>
  <si>
    <t xml:space="preserve">6:31 </t>
  </si>
  <si>
    <t xml:space="preserve">6:39 </t>
  </si>
  <si>
    <t xml:space="preserve">6:48 </t>
  </si>
  <si>
    <t xml:space="preserve">6:55 </t>
  </si>
  <si>
    <t xml:space="preserve">7:02 </t>
  </si>
  <si>
    <t xml:space="preserve">7:07 </t>
  </si>
  <si>
    <t xml:space="preserve">7:13 </t>
  </si>
  <si>
    <t xml:space="preserve">7:16 </t>
  </si>
  <si>
    <t xml:space="preserve">7:19 </t>
  </si>
  <si>
    <t xml:space="preserve">7:23 </t>
  </si>
  <si>
    <t xml:space="preserve">7:26 </t>
  </si>
  <si>
    <t xml:space="preserve">7:30 </t>
  </si>
  <si>
    <t xml:space="preserve">7:34 </t>
  </si>
  <si>
    <t xml:space="preserve">7:38 </t>
  </si>
  <si>
    <t xml:space="preserve">7:41 </t>
  </si>
  <si>
    <t xml:space="preserve">7:47 </t>
  </si>
  <si>
    <t xml:space="preserve">7:53 </t>
  </si>
  <si>
    <t xml:space="preserve">370 T </t>
  </si>
  <si>
    <t xml:space="preserve">262 T </t>
  </si>
  <si>
    <t xml:space="preserve">6:15 </t>
  </si>
  <si>
    <t xml:space="preserve">6:23 </t>
  </si>
  <si>
    <t xml:space="preserve">6:32 </t>
  </si>
  <si>
    <t xml:space="preserve">- </t>
  </si>
  <si>
    <t xml:space="preserve">7:08 </t>
  </si>
  <si>
    <t xml:space="preserve">7:22 </t>
  </si>
  <si>
    <t xml:space="preserve">7:28 </t>
  </si>
  <si>
    <t xml:space="preserve">261 T </t>
  </si>
  <si>
    <t xml:space="preserve">6:44 </t>
  </si>
  <si>
    <t xml:space="preserve">6:46 </t>
  </si>
  <si>
    <t xml:space="preserve">6:50 </t>
  </si>
  <si>
    <t xml:space="preserve">6:54 </t>
  </si>
  <si>
    <t xml:space="preserve">6:58 </t>
  </si>
  <si>
    <t xml:space="preserve">7:03 </t>
  </si>
  <si>
    <t xml:space="preserve">7:05 </t>
  </si>
  <si>
    <t xml:space="preserve">7:14 </t>
  </si>
  <si>
    <t xml:space="preserve">7:24 </t>
  </si>
  <si>
    <t xml:space="preserve">7:31 </t>
  </si>
  <si>
    <t xml:space="preserve">20:14 </t>
  </si>
  <si>
    <t xml:space="preserve">20:22 </t>
  </si>
  <si>
    <t xml:space="preserve">20:27 </t>
  </si>
  <si>
    <t xml:space="preserve">20:34 </t>
  </si>
  <si>
    <t xml:space="preserve">20:47 </t>
  </si>
  <si>
    <t xml:space="preserve">21:03 </t>
  </si>
  <si>
    <t xml:space="preserve">21:33 </t>
  </si>
  <si>
    <t xml:space="preserve">21:46 </t>
  </si>
  <si>
    <t xml:space="preserve">22:06 </t>
  </si>
  <si>
    <t>only Friday and Sundays</t>
  </si>
  <si>
    <t>working days</t>
  </si>
  <si>
    <t>weekends and national holidays</t>
  </si>
  <si>
    <t>Working days</t>
  </si>
  <si>
    <t>Weekends and national holidays</t>
  </si>
  <si>
    <t>All trains</t>
  </si>
  <si>
    <t>Instruction</t>
  </si>
  <si>
    <t>1) Select direction</t>
  </si>
  <si>
    <t>2) Press "Refresh" button</t>
  </si>
  <si>
    <t xml:space="preserve">3) Select station </t>
  </si>
  <si>
    <t>4) Press "Find trains" button</t>
  </si>
  <si>
    <t>From</t>
  </si>
  <si>
    <t>To</t>
  </si>
  <si>
    <t>Link</t>
  </si>
  <si>
    <t>Data from:</t>
  </si>
  <si>
    <t>Express trains:</t>
  </si>
  <si>
    <t>Schedule from</t>
  </si>
  <si>
    <t>Hours</t>
  </si>
  <si>
    <t>All</t>
  </si>
  <si>
    <t>Days</t>
  </si>
  <si>
    <t>Weekend &amp; Holidays</t>
  </si>
  <si>
    <t>Total</t>
  </si>
  <si>
    <t>Trains 1</t>
  </si>
  <si>
    <t>Express 1</t>
  </si>
  <si>
    <t>Trains 2</t>
  </si>
  <si>
    <t>Express 2</t>
  </si>
  <si>
    <t>Hour</t>
  </si>
  <si>
    <t>Trains/hour</t>
  </si>
  <si>
    <t>Express/Hour</t>
  </si>
  <si>
    <t>Narva - Tallinn</t>
  </si>
  <si>
    <t>express train</t>
  </si>
  <si>
    <t>Tallinn - Narva</t>
  </si>
  <si>
    <t>Idasuund / Ülemiste / Working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</si>
</sst>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26" x14ac:knownFonts="1">
    <font>
      <sz val="11"/>
      <color rgb="FF000000"/>
      <name val="Calibri"/>
    </font>
    <font>
      <sz val="11"/>
      <color theme="1"/>
      <name val="Calibri"/>
      <family val="2"/>
      <charset val="186"/>
      <scheme val="minor"/>
    </font>
    <font>
      <sz val="11"/>
      <color theme="1"/>
      <name val="Calibri"/>
      <family val="2"/>
      <charset val="186"/>
      <scheme val="minor"/>
    </font>
    <font>
      <sz val="21"/>
      <color rgb="FFFFFFFF"/>
      <name val="Cambria"/>
      <family val="1"/>
    </font>
    <font>
      <sz val="19"/>
      <color rgb="FF000000"/>
      <name val="Cambria"/>
      <family val="1"/>
    </font>
    <font>
      <sz val="19"/>
      <color rgb="FF000000"/>
      <name val="Calibri"/>
      <family val="2"/>
    </font>
    <font>
      <sz val="22"/>
      <color rgb="FFFFFFFF"/>
      <name val="Cambria"/>
      <family val="1"/>
    </font>
    <font>
      <sz val="18"/>
      <color rgb="FF000000"/>
      <name val="Cambria"/>
      <family val="1"/>
    </font>
    <font>
      <sz val="20"/>
      <color rgb="FF000000"/>
      <name val="Calibri"/>
      <family val="2"/>
    </font>
    <font>
      <sz val="20"/>
      <color rgb="FF000000"/>
      <name val="Cambria"/>
      <family val="1"/>
    </font>
    <font>
      <sz val="24"/>
      <color rgb="FF000000"/>
      <name val="Cambria"/>
      <family val="1"/>
    </font>
    <font>
      <sz val="15"/>
      <color rgb="FF000000"/>
      <name val="Cambria"/>
      <family val="1"/>
    </font>
    <font>
      <sz val="18"/>
      <color rgb="FF0070C0"/>
      <name val="Cambria"/>
      <family val="1"/>
    </font>
    <font>
      <sz val="18"/>
      <color rgb="FFFF0000"/>
      <name val="Cambria"/>
      <family val="1"/>
    </font>
    <font>
      <sz val="21"/>
      <color rgb="FF000000"/>
      <name val="Cambria"/>
      <family val="1"/>
    </font>
    <font>
      <sz val="22"/>
      <color rgb="FF000000"/>
      <name val="Cambria"/>
      <family val="1"/>
    </font>
    <font>
      <sz val="11"/>
      <color rgb="FF000000"/>
      <name val="Calibri"/>
      <family val="2"/>
    </font>
    <font>
      <sz val="19"/>
      <color rgb="FF280000"/>
      <name val="Calibri"/>
      <family val="2"/>
    </font>
    <font>
      <sz val="11"/>
      <color rgb="FFD2EFFF"/>
      <name val="Calibri"/>
      <family val="2"/>
    </font>
    <font>
      <sz val="19"/>
      <color rgb="FFD2EFFF"/>
      <name val="Calibri"/>
      <family val="2"/>
    </font>
    <font>
      <sz val="20"/>
      <name val="Calibri"/>
      <family val="2"/>
    </font>
    <font>
      <sz val="19"/>
      <name val="Calibri"/>
      <family val="2"/>
    </font>
    <font>
      <sz val="11"/>
      <name val="Calibri"/>
      <family val="2"/>
    </font>
    <font>
      <sz val="11"/>
      <name val="Calibri"/>
      <family val="2"/>
      <charset val="186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00B050"/>
      </patternFill>
    </fill>
    <fill>
      <patternFill patternType="solid">
        <fgColor rgb="FFD9D9D9"/>
      </patternFill>
    </fill>
    <fill>
      <patternFill patternType="solid">
        <fgColor rgb="FFF8CBAD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25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5" fillId="0" borderId="0" applyNumberFormat="0" applyFill="0" applyBorder="0" applyAlignment="0" applyProtection="0"/>
  </cellStyleXfs>
  <cellXfs count="150">
    <xf numFmtId="0" fontId="0" fillId="0" borderId="0" xfId="0" applyFill="1" applyBorder="1" applyAlignment="1">
      <alignment horizontal="left"/>
    </xf>
    <xf numFmtId="0" fontId="4" fillId="3" borderId="0" xfId="0" applyFont="1" applyFill="1" applyBorder="1" applyAlignment="1">
      <alignment horizontal="left" vertical="center" wrapText="1" indent="4"/>
    </xf>
    <xf numFmtId="0" fontId="5" fillId="3" borderId="1" xfId="0" applyFont="1" applyFill="1" applyBorder="1" applyAlignment="1">
      <alignment horizontal="left" vertical="center" wrapText="1" indent="2"/>
    </xf>
    <xf numFmtId="0" fontId="5" fillId="3" borderId="2" xfId="0" applyFont="1" applyFill="1" applyBorder="1" applyAlignment="1">
      <alignment horizontal="left" vertical="center" wrapText="1" indent="2"/>
    </xf>
    <xf numFmtId="0" fontId="5" fillId="3" borderId="3" xfId="0" applyFont="1" applyFill="1" applyBorder="1" applyAlignment="1">
      <alignment horizontal="left" vertical="center" wrapText="1" indent="2"/>
    </xf>
    <xf numFmtId="0" fontId="4" fillId="0" borderId="4" xfId="0" applyFont="1" applyFill="1" applyBorder="1" applyAlignment="1">
      <alignment horizontal="left" vertical="center" wrapText="1"/>
    </xf>
    <xf numFmtId="0" fontId="0" fillId="0" borderId="5" xfId="0" applyFill="1" applyBorder="1" applyAlignment="1">
      <alignment horizontal="left" vertical="center" wrapText="1"/>
    </xf>
    <xf numFmtId="0" fontId="0" fillId="0" borderId="6" xfId="0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left" vertical="center" wrapText="1" indent="1"/>
    </xf>
    <xf numFmtId="0" fontId="0" fillId="0" borderId="7" xfId="0" applyFill="1" applyBorder="1" applyAlignment="1">
      <alignment horizontal="left" vertical="center" wrapText="1"/>
    </xf>
    <xf numFmtId="0" fontId="4" fillId="0" borderId="8" xfId="0" applyFont="1" applyFill="1" applyBorder="1" applyAlignment="1">
      <alignment horizontal="left" vertical="center" wrapText="1"/>
    </xf>
    <xf numFmtId="0" fontId="0" fillId="0" borderId="9" xfId="0" applyFill="1" applyBorder="1" applyAlignment="1">
      <alignment horizontal="left" vertical="center" wrapText="1"/>
    </xf>
    <xf numFmtId="0" fontId="0" fillId="0" borderId="10" xfId="0" applyFill="1" applyBorder="1" applyAlignment="1">
      <alignment horizontal="left" vertical="center" wrapText="1"/>
    </xf>
    <xf numFmtId="0" fontId="5" fillId="0" borderId="10" xfId="0" applyFont="1" applyFill="1" applyBorder="1" applyAlignment="1">
      <alignment horizontal="left" vertical="center" wrapText="1" indent="1"/>
    </xf>
    <xf numFmtId="0" fontId="0" fillId="0" borderId="11" xfId="0" applyFill="1" applyBorder="1" applyAlignment="1">
      <alignment horizontal="left" vertical="center" wrapText="1"/>
    </xf>
    <xf numFmtId="0" fontId="5" fillId="0" borderId="11" xfId="0" applyFont="1" applyFill="1" applyBorder="1" applyAlignment="1">
      <alignment horizontal="left" vertical="center" wrapText="1" indent="1"/>
    </xf>
    <xf numFmtId="0" fontId="5" fillId="0" borderId="9" xfId="0" applyFont="1" applyFill="1" applyBorder="1" applyAlignment="1">
      <alignment horizontal="left" vertical="center" wrapText="1" indent="1"/>
    </xf>
    <xf numFmtId="0" fontId="5" fillId="0" borderId="10" xfId="0" applyFont="1" applyFill="1" applyBorder="1" applyAlignment="1">
      <alignment horizontal="left" vertical="center" wrapText="1"/>
    </xf>
    <xf numFmtId="0" fontId="5" fillId="0" borderId="10" xfId="0" applyFont="1" applyFill="1" applyBorder="1" applyAlignment="1">
      <alignment horizontal="left" vertical="center" wrapText="1" indent="3"/>
    </xf>
    <xf numFmtId="0" fontId="4" fillId="0" borderId="12" xfId="0" applyFont="1" applyFill="1" applyBorder="1" applyAlignment="1">
      <alignment horizontal="left" vertical="center" wrapText="1"/>
    </xf>
    <xf numFmtId="0" fontId="5" fillId="0" borderId="13" xfId="0" applyFont="1" applyFill="1" applyBorder="1" applyAlignment="1">
      <alignment horizontal="left" vertical="center" wrapText="1" indent="1"/>
    </xf>
    <xf numFmtId="0" fontId="5" fillId="0" borderId="14" xfId="0" applyFont="1" applyFill="1" applyBorder="1" applyAlignment="1">
      <alignment horizontal="left" vertical="center" wrapText="1" indent="1"/>
    </xf>
    <xf numFmtId="0" fontId="5" fillId="0" borderId="14" xfId="0" applyFont="1" applyFill="1" applyBorder="1" applyAlignment="1">
      <alignment horizontal="left" vertical="center" wrapText="1"/>
    </xf>
    <xf numFmtId="0" fontId="5" fillId="0" borderId="15" xfId="0" applyFont="1" applyFill="1" applyBorder="1" applyAlignment="1">
      <alignment horizontal="left" vertical="center" wrapText="1" indent="1"/>
    </xf>
    <xf numFmtId="0" fontId="7" fillId="3" borderId="0" xfId="0" applyFont="1" applyFill="1" applyBorder="1" applyAlignment="1">
      <alignment horizontal="left" vertical="center" wrapText="1" indent="5"/>
    </xf>
    <xf numFmtId="0" fontId="8" fillId="3" borderId="2" xfId="0" applyFont="1" applyFill="1" applyBorder="1" applyAlignment="1">
      <alignment horizontal="left" vertical="center" wrapText="1" indent="2"/>
    </xf>
    <xf numFmtId="0" fontId="8" fillId="3" borderId="3" xfId="0" applyFont="1" applyFill="1" applyBorder="1" applyAlignment="1">
      <alignment horizontal="left" vertical="center" wrapText="1" indent="2"/>
    </xf>
    <xf numFmtId="0" fontId="9" fillId="0" borderId="4" xfId="0" applyFont="1" applyFill="1" applyBorder="1" applyAlignment="1">
      <alignment horizontal="left" vertical="center" wrapText="1"/>
    </xf>
    <xf numFmtId="0" fontId="8" fillId="0" borderId="6" xfId="0" applyFont="1" applyFill="1" applyBorder="1" applyAlignment="1">
      <alignment horizontal="left" vertical="center" wrapText="1" indent="1"/>
    </xf>
    <xf numFmtId="0" fontId="8" fillId="0" borderId="6" xfId="0" applyFont="1" applyFill="1" applyBorder="1" applyAlignment="1">
      <alignment horizontal="left" vertical="center" wrapText="1" indent="2"/>
    </xf>
    <xf numFmtId="0" fontId="8" fillId="0" borderId="7" xfId="0" applyFont="1" applyFill="1" applyBorder="1" applyAlignment="1">
      <alignment horizontal="left" vertical="center" wrapText="1" indent="1"/>
    </xf>
    <xf numFmtId="0" fontId="9" fillId="0" borderId="8" xfId="0" applyFont="1" applyFill="1" applyBorder="1" applyAlignment="1">
      <alignment horizontal="left" vertical="center" wrapText="1"/>
    </xf>
    <xf numFmtId="0" fontId="8" fillId="0" borderId="10" xfId="0" applyFont="1" applyFill="1" applyBorder="1" applyAlignment="1">
      <alignment horizontal="left" vertical="center" wrapText="1" indent="1"/>
    </xf>
    <xf numFmtId="0" fontId="8" fillId="0" borderId="10" xfId="0" applyFont="1" applyFill="1" applyBorder="1" applyAlignment="1">
      <alignment horizontal="left" vertical="center" wrapText="1" indent="2"/>
    </xf>
    <xf numFmtId="0" fontId="8" fillId="0" borderId="11" xfId="0" applyFont="1" applyFill="1" applyBorder="1" applyAlignment="1">
      <alignment horizontal="left" vertical="center" wrapText="1" indent="1"/>
    </xf>
    <xf numFmtId="0" fontId="8" fillId="0" borderId="10" xfId="0" applyFont="1" applyFill="1" applyBorder="1" applyAlignment="1">
      <alignment horizontal="left" vertical="center" wrapText="1" indent="3"/>
    </xf>
    <xf numFmtId="0" fontId="8" fillId="0" borderId="10" xfId="0" applyFont="1" applyFill="1" applyBorder="1" applyAlignment="1">
      <alignment horizontal="left" vertical="center" wrapText="1" indent="4"/>
    </xf>
    <xf numFmtId="0" fontId="9" fillId="0" borderId="12" xfId="0" applyFont="1" applyFill="1" applyBorder="1" applyAlignment="1">
      <alignment horizontal="left" vertical="center" wrapText="1"/>
    </xf>
    <xf numFmtId="0" fontId="8" fillId="0" borderId="14" xfId="0" applyFont="1" applyFill="1" applyBorder="1" applyAlignment="1">
      <alignment horizontal="left" vertical="center" wrapText="1" indent="1"/>
    </xf>
    <xf numFmtId="0" fontId="0" fillId="0" borderId="14" xfId="0" applyFill="1" applyBorder="1" applyAlignment="1">
      <alignment horizontal="left" vertical="center" wrapText="1"/>
    </xf>
    <xf numFmtId="0" fontId="0" fillId="0" borderId="15" xfId="0" applyFill="1" applyBorder="1" applyAlignment="1">
      <alignment horizontal="left" vertical="center" wrapText="1"/>
    </xf>
    <xf numFmtId="0" fontId="0" fillId="4" borderId="0" xfId="0" applyFill="1" applyBorder="1" applyAlignment="1">
      <alignment horizontal="left" vertical="center" wrapText="1"/>
    </xf>
    <xf numFmtId="0" fontId="10" fillId="0" borderId="0" xfId="0" applyFont="1" applyFill="1" applyBorder="1" applyAlignment="1">
      <alignment horizontal="left" vertical="center" wrapText="1" indent="8"/>
    </xf>
    <xf numFmtId="0" fontId="0" fillId="0" borderId="0" xfId="0" applyFill="1" applyBorder="1" applyAlignment="1">
      <alignment horizontal="left" vertical="center" wrapText="1"/>
    </xf>
    <xf numFmtId="0" fontId="12" fillId="0" borderId="0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left"/>
    </xf>
    <xf numFmtId="20" fontId="5" fillId="0" borderId="9" xfId="0" applyNumberFormat="1" applyFont="1" applyFill="1" applyBorder="1" applyAlignment="1">
      <alignment horizontal="left" vertical="center" wrapText="1" indent="1"/>
    </xf>
    <xf numFmtId="20" fontId="0" fillId="0" borderId="0" xfId="0" applyNumberFormat="1" applyFill="1" applyBorder="1" applyAlignment="1">
      <alignment horizontal="left"/>
    </xf>
    <xf numFmtId="0" fontId="16" fillId="0" borderId="0" xfId="0" applyFont="1" applyFill="1" applyBorder="1" applyAlignment="1">
      <alignment horizontal="left"/>
    </xf>
    <xf numFmtId="0" fontId="18" fillId="0" borderId="6" xfId="0" applyFont="1" applyFill="1" applyBorder="1" applyAlignment="1">
      <alignment horizontal="left" vertical="center" wrapText="1"/>
    </xf>
    <xf numFmtId="0" fontId="19" fillId="0" borderId="6" xfId="0" applyFont="1" applyFill="1" applyBorder="1" applyAlignment="1">
      <alignment horizontal="left" vertical="center" wrapText="1" indent="1"/>
    </xf>
    <xf numFmtId="0" fontId="0" fillId="0" borderId="16" xfId="0" applyFill="1" applyBorder="1" applyAlignment="1">
      <alignment horizontal="left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164" fontId="0" fillId="0" borderId="16" xfId="0" applyNumberFormat="1" applyFill="1" applyBorder="1" applyAlignment="1">
      <alignment horizontal="center" vertical="center"/>
    </xf>
    <xf numFmtId="0" fontId="16" fillId="0" borderId="16" xfId="0" applyFont="1" applyFill="1" applyBorder="1" applyAlignment="1">
      <alignment horizontal="left"/>
    </xf>
    <xf numFmtId="0" fontId="0" fillId="0" borderId="16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2" fillId="0" borderId="0" xfId="1"/>
    <xf numFmtId="20" fontId="2" fillId="0" borderId="0" xfId="1" applyNumberFormat="1"/>
    <xf numFmtId="0" fontId="2" fillId="0" borderId="0" xfId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5" fillId="5" borderId="2" xfId="0" applyFont="1" applyFill="1" applyBorder="1" applyAlignment="1">
      <alignment horizontal="left" vertical="center" wrapText="1" indent="2"/>
    </xf>
    <xf numFmtId="20" fontId="17" fillId="5" borderId="6" xfId="0" applyNumberFormat="1" applyFont="1" applyFill="1" applyBorder="1" applyAlignment="1">
      <alignment horizontal="left" vertical="center" wrapText="1" indent="1"/>
    </xf>
    <xf numFmtId="0" fontId="5" fillId="5" borderId="10" xfId="0" applyFont="1" applyFill="1" applyBorder="1" applyAlignment="1">
      <alignment horizontal="left" vertical="center" wrapText="1" indent="3"/>
    </xf>
    <xf numFmtId="0" fontId="5" fillId="5" borderId="10" xfId="0" applyFont="1" applyFill="1" applyBorder="1" applyAlignment="1">
      <alignment horizontal="left" vertical="center" wrapText="1" indent="1"/>
    </xf>
    <xf numFmtId="0" fontId="5" fillId="5" borderId="10" xfId="0" applyFont="1" applyFill="1" applyBorder="1" applyAlignment="1">
      <alignment horizontal="left" vertical="center" wrapText="1"/>
    </xf>
    <xf numFmtId="0" fontId="5" fillId="5" borderId="14" xfId="0" applyFont="1" applyFill="1" applyBorder="1" applyAlignment="1">
      <alignment horizontal="left" vertical="center" wrapText="1"/>
    </xf>
    <xf numFmtId="0" fontId="20" fillId="5" borderId="2" xfId="0" applyFont="1" applyFill="1" applyBorder="1" applyAlignment="1">
      <alignment horizontal="left" vertical="center" wrapText="1" indent="2"/>
    </xf>
    <xf numFmtId="0" fontId="20" fillId="5" borderId="6" xfId="0" applyFont="1" applyFill="1" applyBorder="1" applyAlignment="1">
      <alignment horizontal="left" vertical="center" wrapText="1" indent="1"/>
    </xf>
    <xf numFmtId="0" fontId="20" fillId="5" borderId="10" xfId="0" applyFont="1" applyFill="1" applyBorder="1" applyAlignment="1">
      <alignment horizontal="left" vertical="center" wrapText="1" indent="1"/>
    </xf>
    <xf numFmtId="0" fontId="20" fillId="5" borderId="10" xfId="0" applyFont="1" applyFill="1" applyBorder="1" applyAlignment="1">
      <alignment horizontal="left" vertical="center" wrapText="1" indent="3"/>
    </xf>
    <xf numFmtId="0" fontId="20" fillId="5" borderId="14" xfId="0" applyFont="1" applyFill="1" applyBorder="1" applyAlignment="1">
      <alignment horizontal="left" vertical="center" wrapText="1" indent="1"/>
    </xf>
    <xf numFmtId="20" fontId="2" fillId="5" borderId="0" xfId="1" applyNumberFormat="1" applyFill="1"/>
    <xf numFmtId="20" fontId="2" fillId="0" borderId="0" xfId="1" applyNumberFormat="1" applyFill="1"/>
    <xf numFmtId="20" fontId="2" fillId="6" borderId="0" xfId="1" applyNumberFormat="1" applyFill="1"/>
    <xf numFmtId="0" fontId="2" fillId="5" borderId="0" xfId="1" applyFill="1"/>
    <xf numFmtId="0" fontId="1" fillId="0" borderId="0" xfId="1" applyFont="1"/>
    <xf numFmtId="0" fontId="2" fillId="6" borderId="0" xfId="1" applyFill="1"/>
    <xf numFmtId="0" fontId="21" fillId="7" borderId="2" xfId="0" applyFont="1" applyFill="1" applyBorder="1" applyAlignment="1">
      <alignment horizontal="left" vertical="center" wrapText="1" indent="1"/>
    </xf>
    <xf numFmtId="0" fontId="22" fillId="7" borderId="6" xfId="0" applyFont="1" applyFill="1" applyBorder="1" applyAlignment="1">
      <alignment horizontal="left" vertical="center" wrapText="1"/>
    </xf>
    <xf numFmtId="0" fontId="22" fillId="7" borderId="10" xfId="0" applyFont="1" applyFill="1" applyBorder="1" applyAlignment="1">
      <alignment horizontal="left" vertical="center" wrapText="1"/>
    </xf>
    <xf numFmtId="0" fontId="21" fillId="7" borderId="10" xfId="0" applyFont="1" applyFill="1" applyBorder="1" applyAlignment="1">
      <alignment horizontal="left" vertical="center" wrapText="1" indent="2"/>
    </xf>
    <xf numFmtId="0" fontId="21" fillId="7" borderId="14" xfId="0" applyFont="1" applyFill="1" applyBorder="1" applyAlignment="1">
      <alignment horizontal="left" vertical="center" wrapText="1" indent="2"/>
    </xf>
    <xf numFmtId="0" fontId="21" fillId="8" borderId="2" xfId="0" applyFont="1" applyFill="1" applyBorder="1" applyAlignment="1">
      <alignment horizontal="left" vertical="center" wrapText="1"/>
    </xf>
    <xf numFmtId="0" fontId="21" fillId="8" borderId="2" xfId="0" applyFont="1" applyFill="1" applyBorder="1" applyAlignment="1">
      <alignment horizontal="left" vertical="center" wrapText="1" indent="1"/>
    </xf>
    <xf numFmtId="0" fontId="22" fillId="8" borderId="6" xfId="0" applyFont="1" applyFill="1" applyBorder="1" applyAlignment="1">
      <alignment horizontal="left" vertical="center" wrapText="1"/>
    </xf>
    <xf numFmtId="0" fontId="22" fillId="8" borderId="10" xfId="0" applyFont="1" applyFill="1" applyBorder="1" applyAlignment="1">
      <alignment horizontal="left" vertical="center" wrapText="1"/>
    </xf>
    <xf numFmtId="0" fontId="21" fillId="8" borderId="10" xfId="0" applyFont="1" applyFill="1" applyBorder="1" applyAlignment="1">
      <alignment horizontal="left" vertical="center" wrapText="1" indent="1"/>
    </xf>
    <xf numFmtId="0" fontId="21" fillId="8" borderId="10" xfId="0" applyFont="1" applyFill="1" applyBorder="1" applyAlignment="1">
      <alignment horizontal="left" vertical="center" wrapText="1" indent="2"/>
    </xf>
    <xf numFmtId="0" fontId="21" fillId="8" borderId="10" xfId="0" applyFont="1" applyFill="1" applyBorder="1" applyAlignment="1">
      <alignment horizontal="left" vertical="center" wrapText="1" indent="3"/>
    </xf>
    <xf numFmtId="0" fontId="21" fillId="8" borderId="14" xfId="0" applyFont="1" applyFill="1" applyBorder="1" applyAlignment="1">
      <alignment horizontal="left" vertical="center" wrapText="1" indent="1"/>
    </xf>
    <xf numFmtId="0" fontId="21" fillId="8" borderId="14" xfId="0" applyFont="1" applyFill="1" applyBorder="1" applyAlignment="1">
      <alignment horizontal="left" vertical="center" wrapText="1" indent="2"/>
    </xf>
    <xf numFmtId="0" fontId="20" fillId="8" borderId="1" xfId="0" applyFont="1" applyFill="1" applyBorder="1" applyAlignment="1">
      <alignment horizontal="left" vertical="center" wrapText="1" indent="1"/>
    </xf>
    <xf numFmtId="0" fontId="20" fillId="8" borderId="5" xfId="0" applyFont="1" applyFill="1" applyBorder="1" applyAlignment="1">
      <alignment horizontal="left" vertical="center" wrapText="1" indent="1"/>
    </xf>
    <xf numFmtId="0" fontId="20" fillId="8" borderId="9" xfId="0" applyFont="1" applyFill="1" applyBorder="1" applyAlignment="1">
      <alignment horizontal="left" vertical="center" wrapText="1" indent="1"/>
    </xf>
    <xf numFmtId="0" fontId="22" fillId="8" borderId="9" xfId="0" applyFont="1" applyFill="1" applyBorder="1" applyAlignment="1">
      <alignment horizontal="left" vertical="center" wrapText="1"/>
    </xf>
    <xf numFmtId="0" fontId="22" fillId="8" borderId="13" xfId="0" applyFont="1" applyFill="1" applyBorder="1" applyAlignment="1">
      <alignment horizontal="left" vertical="center" wrapText="1"/>
    </xf>
    <xf numFmtId="0" fontId="2" fillId="8" borderId="0" xfId="1" applyFill="1"/>
    <xf numFmtId="0" fontId="2" fillId="7" borderId="0" xfId="1" applyFill="1"/>
    <xf numFmtId="20" fontId="2" fillId="8" borderId="0" xfId="1" applyNumberFormat="1" applyFill="1"/>
    <xf numFmtId="20" fontId="2" fillId="7" borderId="0" xfId="1" applyNumberFormat="1" applyFill="1"/>
    <xf numFmtId="20" fontId="23" fillId="5" borderId="0" xfId="1" applyNumberFormat="1" applyFont="1" applyFill="1"/>
    <xf numFmtId="0" fontId="2" fillId="0" borderId="0" xfId="1" applyFill="1"/>
    <xf numFmtId="20" fontId="23" fillId="6" borderId="0" xfId="1" applyNumberFormat="1" applyFont="1" applyFill="1"/>
    <xf numFmtId="0" fontId="2" fillId="0" borderId="16" xfId="1" applyBorder="1"/>
    <xf numFmtId="20" fontId="2" fillId="0" borderId="16" xfId="1" applyNumberFormat="1" applyBorder="1"/>
    <xf numFmtId="20" fontId="2" fillId="8" borderId="16" xfId="1" applyNumberFormat="1" applyFill="1" applyBorder="1"/>
    <xf numFmtId="20" fontId="2" fillId="7" borderId="16" xfId="1" applyNumberFormat="1" applyFill="1" applyBorder="1"/>
    <xf numFmtId="0" fontId="16" fillId="9" borderId="0" xfId="0" applyFont="1" applyFill="1" applyBorder="1" applyAlignment="1">
      <alignment horizontal="left"/>
    </xf>
    <xf numFmtId="0" fontId="0" fillId="9" borderId="0" xfId="0" applyFill="1" applyBorder="1" applyAlignment="1">
      <alignment horizontal="left"/>
    </xf>
    <xf numFmtId="1" fontId="0" fillId="0" borderId="0" xfId="0" applyNumberFormat="1" applyFill="1" applyBorder="1" applyAlignment="1">
      <alignment horizontal="center" vertical="center"/>
    </xf>
    <xf numFmtId="0" fontId="16" fillId="5" borderId="0" xfId="0" applyFont="1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6" fillId="0" borderId="23" xfId="0" applyFont="1" applyFill="1" applyBorder="1" applyAlignment="1">
      <alignment horizontal="left"/>
    </xf>
    <xf numFmtId="0" fontId="25" fillId="0" borderId="0" xfId="2" applyFill="1" applyBorder="1" applyAlignment="1">
      <alignment horizontal="left"/>
    </xf>
    <xf numFmtId="0" fontId="0" fillId="10" borderId="24" xfId="0" applyFill="1" applyBorder="1" applyAlignment="1">
      <alignment horizontal="left"/>
    </xf>
    <xf numFmtId="0" fontId="16" fillId="10" borderId="16" xfId="0" applyFont="1" applyFill="1" applyBorder="1" applyAlignment="1">
      <alignment horizontal="center" vertical="center"/>
    </xf>
    <xf numFmtId="0" fontId="16" fillId="10" borderId="16" xfId="0" applyFont="1" applyFill="1" applyBorder="1" applyAlignment="1">
      <alignment horizontal="left"/>
    </xf>
    <xf numFmtId="0" fontId="2" fillId="10" borderId="16" xfId="1" applyFill="1" applyBorder="1" applyAlignment="1">
      <alignment horizontal="left"/>
    </xf>
    <xf numFmtId="0" fontId="16" fillId="1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2" fillId="0" borderId="23" xfId="1" applyFill="1" applyBorder="1" applyAlignment="1">
      <alignment horizontal="left"/>
    </xf>
    <xf numFmtId="0" fontId="16" fillId="10" borderId="24" xfId="0" applyFont="1" applyFill="1" applyBorder="1" applyAlignment="1">
      <alignment horizontal="left"/>
    </xf>
    <xf numFmtId="0" fontId="16" fillId="10" borderId="24" xfId="0" applyFont="1" applyFill="1" applyBorder="1" applyAlignment="1">
      <alignment horizontal="center"/>
    </xf>
    <xf numFmtId="0" fontId="1" fillId="0" borderId="0" xfId="1" applyFont="1" applyFill="1"/>
    <xf numFmtId="0" fontId="16" fillId="0" borderId="16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/>
    </xf>
    <xf numFmtId="165" fontId="0" fillId="0" borderId="0" xfId="0" applyNumberFormat="1" applyFill="1" applyBorder="1" applyAlignment="1">
      <alignment horizontal="left"/>
    </xf>
    <xf numFmtId="0" fontId="1" fillId="0" borderId="0" xfId="1" applyFont="1" applyAlignment="1">
      <alignment horizontal="left" wrapText="1"/>
    </xf>
    <xf numFmtId="0" fontId="0" fillId="5" borderId="0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16" fillId="5" borderId="0" xfId="0" applyFont="1" applyFill="1" applyBorder="1" applyAlignment="1">
      <alignment horizontal="right"/>
    </xf>
    <xf numFmtId="0" fontId="24" fillId="0" borderId="17" xfId="0" applyFont="1" applyFill="1" applyBorder="1" applyAlignment="1">
      <alignment horizontal="center" vertical="center"/>
    </xf>
    <xf numFmtId="0" fontId="24" fillId="0" borderId="18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left"/>
    </xf>
    <xf numFmtId="0" fontId="0" fillId="0" borderId="20" xfId="0" applyFill="1" applyBorder="1" applyAlignment="1">
      <alignment horizontal="left"/>
    </xf>
    <xf numFmtId="0" fontId="0" fillId="0" borderId="21" xfId="0" applyFill="1" applyBorder="1" applyAlignment="1">
      <alignment horizontal="left"/>
    </xf>
    <xf numFmtId="0" fontId="0" fillId="0" borderId="22" xfId="0" applyFill="1" applyBorder="1" applyAlignment="1">
      <alignment horizontal="left"/>
    </xf>
    <xf numFmtId="0" fontId="3" fillId="2" borderId="0" xfId="0" applyFont="1" applyFill="1" applyBorder="1" applyAlignment="1">
      <alignment horizontal="left" vertical="center" wrapText="1"/>
    </xf>
    <xf numFmtId="0" fontId="6" fillId="2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left" vertical="center" wrapText="1"/>
    </xf>
    <xf numFmtId="0" fontId="11" fillId="0" borderId="0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/>
    </xf>
  </cellXfs>
  <cellStyles count="3">
    <cellStyle name="Hyperlink" xfId="2" builtinId="8"/>
    <cellStyle name="Normal" xfId="0" builtinId="0"/>
    <cellStyle name="Normal 2" xfId="1" xr:uid="{EC49ECAF-E751-416B-8399-1D6C89C448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746760</xdr:colOff>
          <xdr:row>10</xdr:row>
          <xdr:rowOff>144780</xdr:rowOff>
        </xdr:from>
        <xdr:to>
          <xdr:col>1</xdr:col>
          <xdr:colOff>1203960</xdr:colOff>
          <xdr:row>12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trains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3</xdr:row>
          <xdr:rowOff>114300</xdr:rowOff>
        </xdr:from>
        <xdr:to>
          <xdr:col>1</xdr:col>
          <xdr:colOff>1226820</xdr:colOff>
          <xdr:row>6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stations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lron.ee/soiduinfo/soiduplaanid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2D065-8E66-4A46-B293-26205FDA8597}">
  <sheetPr codeName="Sheet1"/>
  <dimension ref="A1:Y1001"/>
  <sheetViews>
    <sheetView tabSelected="1" workbookViewId="0">
      <pane ySplit="2" topLeftCell="A3" activePane="bottomLeft" state="frozen"/>
      <selection pane="bottomLeft" activeCell="K13" sqref="K13"/>
    </sheetView>
  </sheetViews>
  <sheetFormatPr defaultRowHeight="14.4" x14ac:dyDescent="0.3"/>
  <cols>
    <col min="1" max="1" width="11.88671875" bestFit="1" customWidth="1"/>
    <col min="2" max="2" width="19.77734375" style="59" customWidth="1"/>
    <col min="3" max="3" width="11.88671875" bestFit="1" customWidth="1"/>
    <col min="5" max="5" width="13.88671875" bestFit="1" customWidth="1"/>
    <col min="6" max="6" width="27.21875" style="52" bestFit="1" customWidth="1"/>
    <col min="8" max="8" width="10.44140625" bestFit="1" customWidth="1"/>
    <col min="10" max="10" width="11.88671875" bestFit="1" customWidth="1"/>
    <col min="11" max="11" width="7.5546875" customWidth="1"/>
    <col min="13" max="13" width="10.44140625" bestFit="1" customWidth="1"/>
    <col min="14" max="14" width="11.88671875" bestFit="1" customWidth="1"/>
    <col min="15" max="16" width="12.5546875" style="125" bestFit="1" customWidth="1"/>
    <col min="17" max="21" width="8.88671875" hidden="1" customWidth="1"/>
    <col min="23" max="23" width="8.88671875" style="134"/>
    <col min="24" max="24" width="12.77734375" bestFit="1" customWidth="1"/>
    <col min="25" max="25" width="20.44140625" bestFit="1" customWidth="1"/>
  </cols>
  <sheetData>
    <row r="1" spans="1:25" s="125" customFormat="1" x14ac:dyDescent="0.3">
      <c r="D1" s="136" t="s">
        <v>775</v>
      </c>
      <c r="E1" s="136"/>
      <c r="F1" s="136"/>
      <c r="L1" s="136" t="str">
        <f>D1</f>
        <v>Idasuund / Ülemiste / Working days</v>
      </c>
      <c r="M1" s="136"/>
      <c r="N1" s="136"/>
      <c r="O1" s="136"/>
      <c r="P1" s="136"/>
      <c r="W1" s="134"/>
      <c r="X1" s="133"/>
      <c r="Y1" s="133"/>
    </row>
    <row r="2" spans="1:25" x14ac:dyDescent="0.3">
      <c r="A2" s="115" t="s">
        <v>525</v>
      </c>
      <c r="B2" t="s">
        <v>661</v>
      </c>
      <c r="D2" s="51" t="s">
        <v>496</v>
      </c>
      <c r="E2" s="57" t="s">
        <v>525</v>
      </c>
      <c r="F2" s="131" t="s">
        <v>514</v>
      </c>
      <c r="G2" s="57"/>
      <c r="H2" s="137" t="s">
        <v>748</v>
      </c>
      <c r="I2" s="137"/>
      <c r="J2" s="137"/>
      <c r="L2" s="132" t="s">
        <v>769</v>
      </c>
      <c r="M2" s="132" t="s">
        <v>770</v>
      </c>
      <c r="N2" s="132" t="s">
        <v>771</v>
      </c>
      <c r="O2" s="132" t="s">
        <v>772</v>
      </c>
      <c r="P2" s="132" t="s">
        <v>774</v>
      </c>
      <c r="Q2" s="48" t="s">
        <v>760</v>
      </c>
      <c r="R2" s="132" t="s">
        <v>765</v>
      </c>
      <c r="S2" s="132" t="s">
        <v>766</v>
      </c>
      <c r="T2" s="132" t="s">
        <v>767</v>
      </c>
      <c r="U2" s="132" t="s">
        <v>768</v>
      </c>
      <c r="X2" s="133"/>
      <c r="Y2" s="133"/>
    </row>
    <row r="3" spans="1:25" x14ac:dyDescent="0.3">
      <c r="D3" s="47">
        <v>0.2722222222222222</v>
      </c>
      <c r="E3" t="s">
        <v>772</v>
      </c>
      <c r="H3" s="51" t="s">
        <v>515</v>
      </c>
      <c r="I3" s="58" t="s">
        <v>519</v>
      </c>
      <c r="J3" s="58" t="s">
        <v>520</v>
      </c>
      <c r="L3" s="53">
        <v>0</v>
      </c>
      <c r="M3" s="53">
        <f>COUNTIF(Q$3:Q$1001,L3)</f>
        <v>0</v>
      </c>
      <c r="N3" s="53">
        <f>COUNTIFS(Q$3:Q$1001,L3,F$3:F$1001,"express train")</f>
        <v>0</v>
      </c>
      <c r="O3" s="53" t="str">
        <f>IF(O$2&lt;&gt;"",CONCATENATE(COUNTIFS($Q$3:$Q$1001,$L3,$E$3:$E$1001,O$2)," ( ",  COUNTIFS($Q$3:$Q$1001,$L3,$E$3:$E$1001,O$2,$F$3:$F$1001,"express train")," )"),"")</f>
        <v>0 ( 0 )</v>
      </c>
      <c r="P3" s="53" t="str">
        <f>IF(P$2&lt;&gt;"",CONCATENATE(COUNTIFS($Q$3:$Q$1001,$L3,$E$3:$E$1001,P$2)," ( ",  COUNTIFS($Q$3:$Q$1001,$L3,$E$3:$E$1001,P$2,$F$3:$F$1001,"express train")," )"),"")</f>
        <v>0 ( 0 )</v>
      </c>
      <c r="Q3" cm="1">
        <f t="array" ref="Q3:Q1001">IF(LEN(D3:D1001)=0,25,HOUR(D3:D1001))</f>
        <v>6</v>
      </c>
      <c r="R3" s="53">
        <f>IF(O$2&lt;&gt;"",COUNTIFS($Q$3:$Q$1001,$L3,$E$3:$E$1001,O$2),"")</f>
        <v>0</v>
      </c>
      <c r="S3" s="53">
        <f xml:space="preserve"> COUNTIFS($Q$3:$Q$1001,$L3,E$3:E$1001,O$2,$F$3:$F$1001,"express train")</f>
        <v>0</v>
      </c>
      <c r="T3" s="53">
        <f>IF(P$2&lt;&gt;"",COUNTIFS($Q$3:$Q$1001,$L3,$E$3:$E$1001,P$2),"")</f>
        <v>0</v>
      </c>
      <c r="U3" s="53">
        <f xml:space="preserve"> COUNTIFS($Q$3:$Q$1001,$L3,E$3:E$1001,P$2,$F$3:$F$1001,"express train")</f>
        <v>0</v>
      </c>
      <c r="X3" s="133"/>
      <c r="Y3" s="133"/>
    </row>
    <row r="4" spans="1:25" x14ac:dyDescent="0.3">
      <c r="D4" s="47">
        <v>0.30208333333333331</v>
      </c>
      <c r="E4" t="s">
        <v>772</v>
      </c>
      <c r="F4" s="52" t="s">
        <v>744</v>
      </c>
      <c r="H4" s="48" t="s">
        <v>516</v>
      </c>
      <c r="I4" s="53">
        <v>45</v>
      </c>
      <c r="J4" s="55">
        <f>IFERROR(I4/I7*100,0)</f>
        <v>71.428571428571431</v>
      </c>
      <c r="L4" s="53">
        <v>1</v>
      </c>
      <c r="M4" s="53">
        <f t="shared" ref="M4:M26" si="0">COUNTIF(Q$3:Q$1001,L4)</f>
        <v>0</v>
      </c>
      <c r="N4" s="53">
        <f t="shared" ref="N4:N26" si="1">COUNTIFS(Q$3:Q$1001,L4,F$3:F$1001,"express train")</f>
        <v>0</v>
      </c>
      <c r="O4" s="53" t="str">
        <f t="shared" ref="O4:O26" si="2">IF(O$2&lt;&gt;"",CONCATENATE(COUNTIFS($Q$3:$Q$1001,$L4,E$3:E$1001,O$2)," ( ",  COUNTIFS($Q$3:$Q$1001,$L4,E$3:E$1001,O$2,$F$3:$F$1001,"express train")," )"),"")</f>
        <v>0 ( 0 )</v>
      </c>
      <c r="P4" s="53" t="str">
        <f t="shared" ref="P4:P26" si="3">IF(P$2&lt;&gt;"",CONCATENATE(COUNTIFS($Q$3:$Q$1001,$L4,$E$3:$E$1001,P$2)," ( ",  COUNTIFS($Q$3:$Q$1001,$L4,$E$3:$E$1001,P$2,$F$3:$F$1001,"express train")," )"),"")</f>
        <v>0 ( 0 )</v>
      </c>
      <c r="Q4">
        <v>7</v>
      </c>
      <c r="R4" s="53">
        <f t="shared" ref="R4:R26" si="4">IF(O$2&lt;&gt;"",COUNTIFS($Q$3:$Q$1001,$L4,E$3:E$1001,O$2),"")</f>
        <v>0</v>
      </c>
      <c r="S4" s="53">
        <f t="shared" ref="S4:S26" si="5" xml:space="preserve"> COUNTIFS($Q$3:$Q$1001,$L4,E$3:E$1001,O$2,$F$3:$F$1001,"express train")</f>
        <v>0</v>
      </c>
      <c r="T4" s="53">
        <f t="shared" ref="T4:T26" si="6">IF(P$2&lt;&gt;"",COUNTIFS($Q$3:$Q$1001,$L4,$E$3:$E$1001,P$2),"")</f>
        <v>0</v>
      </c>
      <c r="U4" s="53">
        <f t="shared" ref="U4:U26" si="7" xml:space="preserve"> COUNTIFS($Q$3:$Q$1001,$L4,E$3:E$1001,P$2,$F$3:$F$1001,"express train")</f>
        <v>0</v>
      </c>
      <c r="X4" s="133"/>
      <c r="Y4" s="133"/>
    </row>
    <row r="5" spans="1:25" x14ac:dyDescent="0.3">
      <c r="D5" s="47">
        <v>0.30902777777777779</v>
      </c>
      <c r="E5" t="s">
        <v>772</v>
      </c>
      <c r="H5" s="48" t="s">
        <v>517</v>
      </c>
      <c r="I5" s="53">
        <v>15</v>
      </c>
      <c r="J5" s="55">
        <f>IFERROR(I5/I7*100,0)</f>
        <v>23.809523809523807</v>
      </c>
      <c r="L5" s="53">
        <v>2</v>
      </c>
      <c r="M5" s="53">
        <f t="shared" si="0"/>
        <v>0</v>
      </c>
      <c r="N5" s="53">
        <f t="shared" si="1"/>
        <v>0</v>
      </c>
      <c r="O5" s="53" t="str">
        <f t="shared" si="2"/>
        <v>0 ( 0 )</v>
      </c>
      <c r="P5" s="53" t="str">
        <f t="shared" si="3"/>
        <v>0 ( 0 )</v>
      </c>
      <c r="Q5">
        <v>7</v>
      </c>
      <c r="R5" s="53">
        <f t="shared" si="4"/>
        <v>0</v>
      </c>
      <c r="S5" s="53">
        <f t="shared" si="5"/>
        <v>0</v>
      </c>
      <c r="T5" s="53">
        <f t="shared" si="6"/>
        <v>0</v>
      </c>
      <c r="U5" s="53">
        <f t="shared" si="7"/>
        <v>0</v>
      </c>
      <c r="X5" s="133"/>
      <c r="Y5" s="133"/>
    </row>
    <row r="6" spans="1:25" x14ac:dyDescent="0.3">
      <c r="D6" s="47">
        <v>0.32013888888888892</v>
      </c>
      <c r="E6" t="s">
        <v>772</v>
      </c>
      <c r="H6" s="57" t="s">
        <v>518</v>
      </c>
      <c r="I6" s="54">
        <v>3</v>
      </c>
      <c r="J6" s="56">
        <f>IFERROR(I6/I7*100,0)</f>
        <v>4.7619047619047619</v>
      </c>
      <c r="L6" s="53">
        <v>3</v>
      </c>
      <c r="M6" s="53">
        <f t="shared" si="0"/>
        <v>0</v>
      </c>
      <c r="N6" s="53">
        <f t="shared" si="1"/>
        <v>0</v>
      </c>
      <c r="O6" s="53" t="str">
        <f t="shared" si="2"/>
        <v>0 ( 0 )</v>
      </c>
      <c r="P6" s="53" t="str">
        <f t="shared" si="3"/>
        <v>0 ( 0 )</v>
      </c>
      <c r="Q6">
        <v>7</v>
      </c>
      <c r="R6" s="53">
        <f t="shared" si="4"/>
        <v>0</v>
      </c>
      <c r="S6" s="53">
        <f t="shared" si="5"/>
        <v>0</v>
      </c>
      <c r="T6" s="53">
        <f t="shared" si="6"/>
        <v>0</v>
      </c>
      <c r="U6" s="53">
        <f t="shared" si="7"/>
        <v>0</v>
      </c>
      <c r="X6" s="133"/>
      <c r="Y6" s="133"/>
    </row>
    <row r="7" spans="1:25" x14ac:dyDescent="0.3">
      <c r="D7" s="47">
        <v>0.34375</v>
      </c>
      <c r="E7" t="s">
        <v>772</v>
      </c>
      <c r="F7" s="52" t="s">
        <v>744</v>
      </c>
      <c r="H7" s="48" t="s">
        <v>524</v>
      </c>
      <c r="I7" s="114">
        <f>SUM(I4:I6)</f>
        <v>63</v>
      </c>
      <c r="J7" s="53">
        <f>SUM(J4:J6)</f>
        <v>100</v>
      </c>
      <c r="L7" s="53">
        <v>4</v>
      </c>
      <c r="M7" s="53">
        <f t="shared" si="0"/>
        <v>0</v>
      </c>
      <c r="N7" s="53">
        <f t="shared" si="1"/>
        <v>0</v>
      </c>
      <c r="O7" s="53" t="str">
        <f t="shared" si="2"/>
        <v>0 ( 0 )</v>
      </c>
      <c r="P7" s="53" t="str">
        <f t="shared" si="3"/>
        <v>0 ( 0 )</v>
      </c>
      <c r="Q7">
        <v>8</v>
      </c>
      <c r="R7" s="53">
        <f t="shared" si="4"/>
        <v>0</v>
      </c>
      <c r="S7" s="53">
        <f t="shared" si="5"/>
        <v>0</v>
      </c>
      <c r="T7" s="53">
        <f t="shared" si="6"/>
        <v>0</v>
      </c>
      <c r="U7" s="53">
        <f t="shared" si="7"/>
        <v>0</v>
      </c>
      <c r="X7" s="133"/>
      <c r="Y7" s="52"/>
    </row>
    <row r="8" spans="1:25" x14ac:dyDescent="0.3">
      <c r="A8" s="112" t="s">
        <v>525</v>
      </c>
      <c r="B8" s="113" t="s">
        <v>661</v>
      </c>
      <c r="D8" s="47">
        <v>0.36041666666666666</v>
      </c>
      <c r="E8" t="s">
        <v>772</v>
      </c>
      <c r="H8" s="63"/>
      <c r="I8" s="63"/>
      <c r="J8" s="63"/>
      <c r="L8" s="53">
        <v>5</v>
      </c>
      <c r="M8" s="53">
        <f t="shared" si="0"/>
        <v>0</v>
      </c>
      <c r="N8" s="53">
        <f t="shared" si="1"/>
        <v>0</v>
      </c>
      <c r="O8" s="53" t="str">
        <f t="shared" si="2"/>
        <v>0 ( 0 )</v>
      </c>
      <c r="P8" s="53" t="str">
        <f t="shared" si="3"/>
        <v>0 ( 0 )</v>
      </c>
      <c r="Q8">
        <v>8</v>
      </c>
      <c r="R8" s="53">
        <f t="shared" si="4"/>
        <v>0</v>
      </c>
      <c r="S8" s="53">
        <f t="shared" si="5"/>
        <v>0</v>
      </c>
      <c r="T8" s="53">
        <f t="shared" si="6"/>
        <v>0</v>
      </c>
      <c r="U8" s="53">
        <f t="shared" si="7"/>
        <v>0</v>
      </c>
      <c r="X8" s="133"/>
      <c r="Y8" s="133"/>
    </row>
    <row r="9" spans="1:25" x14ac:dyDescent="0.3">
      <c r="A9" s="116" t="s">
        <v>494</v>
      </c>
      <c r="B9" t="s">
        <v>578</v>
      </c>
      <c r="D9" s="47">
        <v>0.3756944444444445</v>
      </c>
      <c r="E9" t="s">
        <v>772</v>
      </c>
      <c r="H9" s="137" t="s">
        <v>746</v>
      </c>
      <c r="I9" s="137"/>
      <c r="J9" s="137"/>
      <c r="L9" s="53">
        <v>6</v>
      </c>
      <c r="M9" s="53">
        <f t="shared" si="0"/>
        <v>3</v>
      </c>
      <c r="N9" s="53">
        <f t="shared" si="1"/>
        <v>0</v>
      </c>
      <c r="O9" s="53" t="str">
        <f t="shared" si="2"/>
        <v>1 ( 0 )</v>
      </c>
      <c r="P9" s="53" t="str">
        <f t="shared" si="3"/>
        <v>2 ( 0 )</v>
      </c>
      <c r="Q9">
        <v>9</v>
      </c>
      <c r="R9" s="53">
        <f t="shared" si="4"/>
        <v>1</v>
      </c>
      <c r="S9" s="53">
        <f t="shared" si="5"/>
        <v>0</v>
      </c>
      <c r="T9" s="53">
        <f t="shared" si="6"/>
        <v>2</v>
      </c>
      <c r="U9" s="53">
        <f t="shared" si="7"/>
        <v>0</v>
      </c>
      <c r="X9" s="133"/>
      <c r="Y9" s="52"/>
    </row>
    <row r="10" spans="1:25" x14ac:dyDescent="0.3">
      <c r="A10" s="115" t="s">
        <v>516</v>
      </c>
      <c r="B10" s="59" t="s">
        <v>746</v>
      </c>
      <c r="D10" s="47">
        <v>0.39027777777777778</v>
      </c>
      <c r="E10" t="s">
        <v>772</v>
      </c>
      <c r="F10" s="52" t="s">
        <v>773</v>
      </c>
      <c r="H10" s="51" t="s">
        <v>515</v>
      </c>
      <c r="I10" s="58" t="s">
        <v>519</v>
      </c>
      <c r="J10" s="58" t="s">
        <v>520</v>
      </c>
      <c r="L10" s="53">
        <v>7</v>
      </c>
      <c r="M10" s="53">
        <f t="shared" si="0"/>
        <v>4</v>
      </c>
      <c r="N10" s="53">
        <f t="shared" si="1"/>
        <v>0</v>
      </c>
      <c r="O10" s="53" t="str">
        <f t="shared" si="2"/>
        <v>3 ( 0 )</v>
      </c>
      <c r="P10" s="53" t="str">
        <f t="shared" si="3"/>
        <v>1 ( 0 )</v>
      </c>
      <c r="Q10">
        <v>9</v>
      </c>
      <c r="R10" s="53">
        <f t="shared" si="4"/>
        <v>3</v>
      </c>
      <c r="S10" s="53">
        <f t="shared" si="5"/>
        <v>0</v>
      </c>
      <c r="T10" s="53">
        <f t="shared" si="6"/>
        <v>1</v>
      </c>
      <c r="U10" s="53">
        <f t="shared" si="7"/>
        <v>0</v>
      </c>
      <c r="X10" s="133"/>
      <c r="Y10" s="133"/>
    </row>
    <row r="11" spans="1:25" x14ac:dyDescent="0.3">
      <c r="D11" s="47">
        <v>0.4055555555555555</v>
      </c>
      <c r="E11" t="s">
        <v>772</v>
      </c>
      <c r="H11" s="48" t="s">
        <v>516</v>
      </c>
      <c r="I11" s="53">
        <v>45</v>
      </c>
      <c r="J11" s="55">
        <f>IFERROR(I11/I$14*100,0)</f>
        <v>71.428571428571431</v>
      </c>
      <c r="L11" s="53">
        <v>8</v>
      </c>
      <c r="M11" s="53">
        <f t="shared" si="0"/>
        <v>5</v>
      </c>
      <c r="N11" s="53">
        <f t="shared" si="1"/>
        <v>1</v>
      </c>
      <c r="O11" s="53" t="str">
        <f t="shared" si="2"/>
        <v>2 ( 0 )</v>
      </c>
      <c r="P11" s="53" t="str">
        <f t="shared" si="3"/>
        <v>3 ( 1 )</v>
      </c>
      <c r="Q11">
        <v>9</v>
      </c>
      <c r="R11" s="53">
        <f t="shared" si="4"/>
        <v>2</v>
      </c>
      <c r="S11" s="53">
        <f t="shared" si="5"/>
        <v>0</v>
      </c>
      <c r="T11" s="53">
        <f t="shared" si="6"/>
        <v>3</v>
      </c>
      <c r="U11" s="53">
        <f t="shared" si="7"/>
        <v>1</v>
      </c>
      <c r="X11" s="133"/>
      <c r="Y11" s="133"/>
    </row>
    <row r="12" spans="1:25" x14ac:dyDescent="0.3">
      <c r="D12" s="47">
        <v>0.42430555555555555</v>
      </c>
      <c r="E12" t="s">
        <v>772</v>
      </c>
      <c r="H12" s="48" t="s">
        <v>517</v>
      </c>
      <c r="I12" s="53">
        <v>15</v>
      </c>
      <c r="J12" s="55">
        <f>IFERROR(I12/I$14*100,0)</f>
        <v>23.809523809523807</v>
      </c>
      <c r="L12" s="53">
        <v>9</v>
      </c>
      <c r="M12" s="53">
        <f t="shared" si="0"/>
        <v>4</v>
      </c>
      <c r="N12" s="53">
        <f t="shared" si="1"/>
        <v>2</v>
      </c>
      <c r="O12" s="53" t="str">
        <f t="shared" si="2"/>
        <v>3 ( 1 )</v>
      </c>
      <c r="P12" s="53" t="str">
        <f t="shared" si="3"/>
        <v>1 ( 1 )</v>
      </c>
      <c r="Q12">
        <v>10</v>
      </c>
      <c r="R12" s="53">
        <f t="shared" si="4"/>
        <v>3</v>
      </c>
      <c r="S12" s="53">
        <f t="shared" si="5"/>
        <v>1</v>
      </c>
      <c r="T12" s="53">
        <f t="shared" si="6"/>
        <v>1</v>
      </c>
      <c r="U12" s="53">
        <f t="shared" si="7"/>
        <v>1</v>
      </c>
      <c r="X12" s="133"/>
      <c r="Y12" s="52"/>
    </row>
    <row r="13" spans="1:25" x14ac:dyDescent="0.3">
      <c r="D13" s="47">
        <v>0.44236111111111115</v>
      </c>
      <c r="E13" t="s">
        <v>772</v>
      </c>
      <c r="F13" s="52" t="s">
        <v>773</v>
      </c>
      <c r="H13" s="57" t="s">
        <v>518</v>
      </c>
      <c r="I13" s="54">
        <v>3</v>
      </c>
      <c r="J13" s="56">
        <f>IFERROR(I13/I$14*100,0)</f>
        <v>4.7619047619047619</v>
      </c>
      <c r="L13" s="53">
        <v>10</v>
      </c>
      <c r="M13" s="53">
        <f t="shared" si="0"/>
        <v>3</v>
      </c>
      <c r="N13" s="53">
        <f t="shared" si="1"/>
        <v>1</v>
      </c>
      <c r="O13" s="53" t="str">
        <f t="shared" si="2"/>
        <v>2 ( 1 )</v>
      </c>
      <c r="P13" s="53" t="str">
        <f t="shared" si="3"/>
        <v>1 ( 0 )</v>
      </c>
      <c r="Q13">
        <v>10</v>
      </c>
      <c r="R13" s="53">
        <f t="shared" si="4"/>
        <v>2</v>
      </c>
      <c r="S13" s="53">
        <f t="shared" si="5"/>
        <v>1</v>
      </c>
      <c r="T13" s="53">
        <f t="shared" si="6"/>
        <v>1</v>
      </c>
      <c r="U13" s="53">
        <f t="shared" si="7"/>
        <v>0</v>
      </c>
      <c r="X13" s="133"/>
      <c r="Y13" s="133"/>
    </row>
    <row r="14" spans="1:25" ht="15" thickBot="1" x14ac:dyDescent="0.35">
      <c r="D14" s="47">
        <v>0.47291666666666665</v>
      </c>
      <c r="E14" t="s">
        <v>772</v>
      </c>
      <c r="H14" s="48" t="s">
        <v>524</v>
      </c>
      <c r="I14" s="53">
        <f>SUM(I11:I13)</f>
        <v>63</v>
      </c>
      <c r="J14" s="53">
        <f>SUM(J11:J13)</f>
        <v>100</v>
      </c>
      <c r="L14" s="53">
        <v>11</v>
      </c>
      <c r="M14" s="53">
        <f t="shared" si="0"/>
        <v>4</v>
      </c>
      <c r="N14" s="53">
        <f t="shared" si="1"/>
        <v>2</v>
      </c>
      <c r="O14" s="53" t="str">
        <f t="shared" si="2"/>
        <v>2 ( 1 )</v>
      </c>
      <c r="P14" s="53" t="str">
        <f t="shared" si="3"/>
        <v>2 ( 1 )</v>
      </c>
      <c r="Q14">
        <v>11</v>
      </c>
      <c r="R14" s="53">
        <f t="shared" si="4"/>
        <v>2</v>
      </c>
      <c r="S14" s="53">
        <f t="shared" si="5"/>
        <v>1</v>
      </c>
      <c r="T14" s="53">
        <f t="shared" si="6"/>
        <v>2</v>
      </c>
      <c r="U14" s="53">
        <f t="shared" si="7"/>
        <v>1</v>
      </c>
      <c r="X14" s="133"/>
      <c r="Y14" s="133"/>
    </row>
    <row r="15" spans="1:25" x14ac:dyDescent="0.3">
      <c r="A15" s="139" t="s">
        <v>749</v>
      </c>
      <c r="B15" s="140"/>
      <c r="D15" s="47">
        <v>0.48888888888888887</v>
      </c>
      <c r="E15" t="s">
        <v>772</v>
      </c>
      <c r="F15" s="52" t="s">
        <v>773</v>
      </c>
      <c r="H15" s="63"/>
      <c r="I15" s="63"/>
      <c r="J15" s="63"/>
      <c r="L15" s="53">
        <v>12</v>
      </c>
      <c r="M15" s="53">
        <f t="shared" si="0"/>
        <v>3</v>
      </c>
      <c r="N15" s="53">
        <f t="shared" si="1"/>
        <v>0</v>
      </c>
      <c r="O15" s="53" t="str">
        <f t="shared" si="2"/>
        <v>1 ( 0 )</v>
      </c>
      <c r="P15" s="53" t="str">
        <f t="shared" si="3"/>
        <v>2 ( 0 )</v>
      </c>
      <c r="Q15">
        <v>11</v>
      </c>
      <c r="R15" s="53">
        <f t="shared" si="4"/>
        <v>1</v>
      </c>
      <c r="S15" s="53">
        <f t="shared" si="5"/>
        <v>0</v>
      </c>
      <c r="T15" s="53">
        <f t="shared" si="6"/>
        <v>2</v>
      </c>
      <c r="U15" s="53">
        <f t="shared" si="7"/>
        <v>0</v>
      </c>
      <c r="X15" s="133"/>
      <c r="Y15" s="133"/>
    </row>
    <row r="16" spans="1:25" x14ac:dyDescent="0.3">
      <c r="A16" s="141" t="s">
        <v>750</v>
      </c>
      <c r="B16" s="142"/>
      <c r="D16" s="47">
        <v>0.51458333333333328</v>
      </c>
      <c r="E16" s="117" t="s">
        <v>772</v>
      </c>
      <c r="H16" s="137" t="s">
        <v>747</v>
      </c>
      <c r="I16" s="137"/>
      <c r="J16" s="137"/>
      <c r="L16" s="53">
        <v>13</v>
      </c>
      <c r="M16" s="53">
        <f t="shared" si="0"/>
        <v>4</v>
      </c>
      <c r="N16" s="53">
        <f t="shared" si="1"/>
        <v>1</v>
      </c>
      <c r="O16" s="53" t="str">
        <f t="shared" si="2"/>
        <v>2 ( 1 )</v>
      </c>
      <c r="P16" s="53" t="str">
        <f t="shared" si="3"/>
        <v>2 ( 0 )</v>
      </c>
      <c r="Q16">
        <v>12</v>
      </c>
      <c r="R16" s="53">
        <f t="shared" si="4"/>
        <v>2</v>
      </c>
      <c r="S16" s="53">
        <f t="shared" si="5"/>
        <v>1</v>
      </c>
      <c r="T16" s="53">
        <f t="shared" si="6"/>
        <v>2</v>
      </c>
      <c r="U16" s="53">
        <f t="shared" si="7"/>
        <v>0</v>
      </c>
      <c r="X16" s="133"/>
      <c r="Y16" s="133"/>
    </row>
    <row r="17" spans="1:25" x14ac:dyDescent="0.3">
      <c r="A17" s="141" t="s">
        <v>751</v>
      </c>
      <c r="B17" s="142"/>
      <c r="D17" s="47">
        <v>0.55277777777777781</v>
      </c>
      <c r="E17" t="s">
        <v>772</v>
      </c>
      <c r="F17" s="52" t="s">
        <v>773</v>
      </c>
      <c r="H17" s="51" t="s">
        <v>515</v>
      </c>
      <c r="I17" s="58" t="s">
        <v>519</v>
      </c>
      <c r="J17" s="58" t="s">
        <v>520</v>
      </c>
      <c r="L17" s="53">
        <v>14</v>
      </c>
      <c r="M17" s="53">
        <f t="shared" si="0"/>
        <v>4</v>
      </c>
      <c r="N17" s="53">
        <f t="shared" si="1"/>
        <v>0</v>
      </c>
      <c r="O17" s="53" t="str">
        <f t="shared" si="2"/>
        <v>2 ( 0 )</v>
      </c>
      <c r="P17" s="53" t="str">
        <f t="shared" si="3"/>
        <v>2 ( 0 )</v>
      </c>
      <c r="Q17">
        <v>13</v>
      </c>
      <c r="R17" s="53">
        <f t="shared" si="4"/>
        <v>2</v>
      </c>
      <c r="S17" s="53">
        <f t="shared" si="5"/>
        <v>0</v>
      </c>
      <c r="T17" s="53">
        <f t="shared" si="6"/>
        <v>2</v>
      </c>
      <c r="U17" s="53">
        <f t="shared" si="7"/>
        <v>0</v>
      </c>
      <c r="X17" s="133"/>
      <c r="Y17" s="133"/>
    </row>
    <row r="18" spans="1:25" x14ac:dyDescent="0.3">
      <c r="A18" s="141" t="s">
        <v>752</v>
      </c>
      <c r="B18" s="142"/>
      <c r="D18" s="47">
        <v>0.56527777777777777</v>
      </c>
      <c r="E18" t="s">
        <v>772</v>
      </c>
      <c r="H18" s="48" t="s">
        <v>516</v>
      </c>
      <c r="I18" s="53">
        <v>42</v>
      </c>
      <c r="J18" s="55">
        <f>IFERROR(I18/I$21*100,0)</f>
        <v>71.186440677966104</v>
      </c>
      <c r="L18" s="53">
        <v>15</v>
      </c>
      <c r="M18" s="53">
        <f t="shared" si="0"/>
        <v>2</v>
      </c>
      <c r="N18" s="53">
        <f t="shared" si="1"/>
        <v>1</v>
      </c>
      <c r="O18" s="53" t="str">
        <f t="shared" si="2"/>
        <v>0 ( 0 )</v>
      </c>
      <c r="P18" s="53" t="str">
        <f t="shared" si="3"/>
        <v>2 ( 1 )</v>
      </c>
      <c r="Q18">
        <v>13</v>
      </c>
      <c r="R18" s="53">
        <f t="shared" si="4"/>
        <v>0</v>
      </c>
      <c r="S18" s="53">
        <f t="shared" si="5"/>
        <v>0</v>
      </c>
      <c r="T18" s="53">
        <f t="shared" si="6"/>
        <v>2</v>
      </c>
      <c r="U18" s="53">
        <f t="shared" si="7"/>
        <v>1</v>
      </c>
      <c r="X18" s="133"/>
      <c r="Y18" s="133"/>
    </row>
    <row r="19" spans="1:25" ht="15" thickBot="1" x14ac:dyDescent="0.35">
      <c r="A19" s="143" t="s">
        <v>753</v>
      </c>
      <c r="B19" s="144"/>
      <c r="D19" s="47">
        <v>0.59236111111111112</v>
      </c>
      <c r="E19" t="s">
        <v>772</v>
      </c>
      <c r="H19" s="48" t="s">
        <v>517</v>
      </c>
      <c r="I19" s="53">
        <v>15</v>
      </c>
      <c r="J19" s="55">
        <f>IFERROR(I19/I$21*100,0)</f>
        <v>25.423728813559322</v>
      </c>
      <c r="L19" s="53">
        <v>16</v>
      </c>
      <c r="M19" s="53">
        <f t="shared" si="0"/>
        <v>5</v>
      </c>
      <c r="N19" s="53">
        <f t="shared" si="1"/>
        <v>1</v>
      </c>
      <c r="O19" s="53" t="str">
        <f t="shared" si="2"/>
        <v>3 ( 1 )</v>
      </c>
      <c r="P19" s="53" t="str">
        <f t="shared" si="3"/>
        <v>2 ( 0 )</v>
      </c>
      <c r="Q19">
        <v>14</v>
      </c>
      <c r="R19" s="53">
        <f t="shared" si="4"/>
        <v>3</v>
      </c>
      <c r="S19" s="53">
        <f t="shared" si="5"/>
        <v>1</v>
      </c>
      <c r="T19" s="53">
        <f t="shared" si="6"/>
        <v>2</v>
      </c>
      <c r="U19" s="53">
        <f t="shared" si="7"/>
        <v>0</v>
      </c>
      <c r="X19" s="133"/>
      <c r="Y19" s="133"/>
    </row>
    <row r="20" spans="1:25" x14ac:dyDescent="0.3">
      <c r="D20" s="47">
        <v>0.61736111111111114</v>
      </c>
      <c r="E20" t="s">
        <v>772</v>
      </c>
      <c r="H20" s="57" t="s">
        <v>518</v>
      </c>
      <c r="I20" s="54">
        <v>2</v>
      </c>
      <c r="J20" s="56">
        <f>IFERROR(I20/I$21*100,0)</f>
        <v>3.3898305084745761</v>
      </c>
      <c r="L20" s="53">
        <v>17</v>
      </c>
      <c r="M20" s="53">
        <f t="shared" si="0"/>
        <v>5</v>
      </c>
      <c r="N20" s="53">
        <f t="shared" si="1"/>
        <v>2</v>
      </c>
      <c r="O20" s="53" t="str">
        <f t="shared" si="2"/>
        <v>2 ( 1 )</v>
      </c>
      <c r="P20" s="53" t="str">
        <f t="shared" si="3"/>
        <v>3 ( 1 )</v>
      </c>
      <c r="Q20">
        <v>14</v>
      </c>
      <c r="R20" s="53">
        <f t="shared" si="4"/>
        <v>2</v>
      </c>
      <c r="S20" s="53">
        <f t="shared" si="5"/>
        <v>1</v>
      </c>
      <c r="T20" s="53">
        <f t="shared" si="6"/>
        <v>3</v>
      </c>
      <c r="U20" s="53">
        <f t="shared" si="7"/>
        <v>1</v>
      </c>
      <c r="X20" s="133"/>
      <c r="Y20" s="133"/>
    </row>
    <row r="21" spans="1:25" x14ac:dyDescent="0.3">
      <c r="A21" s="124" t="s">
        <v>757</v>
      </c>
      <c r="B21" s="119" t="s">
        <v>756</v>
      </c>
      <c r="C21" s="119"/>
      <c r="D21" s="47">
        <v>0.66666666666666663</v>
      </c>
      <c r="E21" t="s">
        <v>772</v>
      </c>
      <c r="F21" s="52" t="s">
        <v>773</v>
      </c>
      <c r="H21" s="48" t="s">
        <v>524</v>
      </c>
      <c r="I21" s="53">
        <f>SUM(I18:I20)</f>
        <v>59</v>
      </c>
      <c r="J21" s="53">
        <f>SUM(J18:J20)</f>
        <v>100</v>
      </c>
      <c r="L21" s="53">
        <v>18</v>
      </c>
      <c r="M21" s="53">
        <f t="shared" si="0"/>
        <v>2</v>
      </c>
      <c r="N21" s="53">
        <f t="shared" si="1"/>
        <v>0</v>
      </c>
      <c r="O21" s="53" t="str">
        <f t="shared" si="2"/>
        <v>2 ( 0 )</v>
      </c>
      <c r="P21" s="53" t="str">
        <f t="shared" si="3"/>
        <v>0 ( 0 )</v>
      </c>
      <c r="Q21">
        <v>16</v>
      </c>
      <c r="R21" s="53">
        <f t="shared" si="4"/>
        <v>2</v>
      </c>
      <c r="S21" s="53">
        <f t="shared" si="5"/>
        <v>0</v>
      </c>
      <c r="T21" s="53">
        <f t="shared" si="6"/>
        <v>0</v>
      </c>
      <c r="U21" s="53">
        <f t="shared" si="7"/>
        <v>0</v>
      </c>
      <c r="X21" s="133"/>
      <c r="Y21" s="133"/>
    </row>
    <row r="22" spans="1:25" x14ac:dyDescent="0.3">
      <c r="D22" s="47">
        <v>0.67986111111111114</v>
      </c>
      <c r="E22" t="s">
        <v>772</v>
      </c>
      <c r="L22" s="53">
        <v>19</v>
      </c>
      <c r="M22" s="53">
        <f t="shared" si="0"/>
        <v>5</v>
      </c>
      <c r="N22" s="53">
        <f t="shared" si="1"/>
        <v>0</v>
      </c>
      <c r="O22" s="53" t="str">
        <f t="shared" si="2"/>
        <v>2 ( 0 )</v>
      </c>
      <c r="P22" s="53" t="str">
        <f t="shared" si="3"/>
        <v>3 ( 0 )</v>
      </c>
      <c r="Q22">
        <v>16</v>
      </c>
      <c r="R22" s="53">
        <f t="shared" si="4"/>
        <v>2</v>
      </c>
      <c r="S22" s="53">
        <f t="shared" si="5"/>
        <v>0</v>
      </c>
      <c r="T22" s="53">
        <f t="shared" si="6"/>
        <v>3</v>
      </c>
      <c r="U22" s="53">
        <f t="shared" si="7"/>
        <v>0</v>
      </c>
      <c r="X22" s="133"/>
      <c r="Y22" s="133"/>
    </row>
    <row r="23" spans="1:25" x14ac:dyDescent="0.3">
      <c r="A23" s="128" t="s">
        <v>525</v>
      </c>
      <c r="B23" s="129" t="s">
        <v>759</v>
      </c>
      <c r="D23" s="47">
        <v>0.70486111111111116</v>
      </c>
      <c r="E23" t="s">
        <v>772</v>
      </c>
      <c r="H23" s="138" t="s">
        <v>758</v>
      </c>
      <c r="I23" s="138"/>
      <c r="J23" s="53">
        <f>IFERROR(COUNTIF(F3:F101,"=express train"),0)</f>
        <v>13</v>
      </c>
      <c r="L23" s="53">
        <v>20</v>
      </c>
      <c r="M23" s="53">
        <f t="shared" si="0"/>
        <v>3</v>
      </c>
      <c r="N23" s="53">
        <f t="shared" si="1"/>
        <v>1</v>
      </c>
      <c r="O23" s="53" t="str">
        <f t="shared" si="2"/>
        <v>2 ( 1 )</v>
      </c>
      <c r="P23" s="53" t="str">
        <f t="shared" si="3"/>
        <v>1 ( 0 )</v>
      </c>
      <c r="Q23">
        <v>16</v>
      </c>
      <c r="R23" s="53">
        <f t="shared" si="4"/>
        <v>2</v>
      </c>
      <c r="S23" s="53">
        <f t="shared" si="5"/>
        <v>1</v>
      </c>
      <c r="T23" s="53">
        <f t="shared" si="6"/>
        <v>1</v>
      </c>
      <c r="U23" s="53">
        <f t="shared" si="7"/>
        <v>0</v>
      </c>
      <c r="X23" s="133"/>
      <c r="Y23" s="133"/>
    </row>
    <row r="24" spans="1:25" x14ac:dyDescent="0.3">
      <c r="A24" s="118" t="s">
        <v>526</v>
      </c>
      <c r="B24" s="126">
        <v>13.12</v>
      </c>
      <c r="D24" s="47">
        <v>0.71736111111111101</v>
      </c>
      <c r="E24" t="s">
        <v>772</v>
      </c>
      <c r="L24" s="53">
        <v>21</v>
      </c>
      <c r="M24" s="53">
        <f t="shared" si="0"/>
        <v>2</v>
      </c>
      <c r="N24" s="53">
        <f t="shared" si="1"/>
        <v>1</v>
      </c>
      <c r="O24" s="53" t="str">
        <f t="shared" si="2"/>
        <v>0 ( 0 )</v>
      </c>
      <c r="P24" s="53" t="str">
        <f t="shared" si="3"/>
        <v>2 ( 1 )</v>
      </c>
      <c r="Q24">
        <v>17</v>
      </c>
      <c r="R24" s="53">
        <f t="shared" si="4"/>
        <v>0</v>
      </c>
      <c r="S24" s="53">
        <f t="shared" si="5"/>
        <v>0</v>
      </c>
      <c r="T24" s="53">
        <f t="shared" si="6"/>
        <v>2</v>
      </c>
      <c r="U24" s="53">
        <f t="shared" si="7"/>
        <v>1</v>
      </c>
      <c r="X24" s="133"/>
      <c r="Y24" s="133"/>
    </row>
    <row r="25" spans="1:25" x14ac:dyDescent="0.3">
      <c r="A25" s="127" t="s">
        <v>661</v>
      </c>
      <c r="B25" s="126">
        <v>15.03</v>
      </c>
      <c r="D25" s="47">
        <v>0.72499999999999998</v>
      </c>
      <c r="E25" t="s">
        <v>772</v>
      </c>
      <c r="F25" s="52" t="s">
        <v>773</v>
      </c>
      <c r="H25" s="120"/>
      <c r="I25" s="121" t="s">
        <v>754</v>
      </c>
      <c r="J25" s="121" t="s">
        <v>755</v>
      </c>
      <c r="L25" s="53">
        <v>22</v>
      </c>
      <c r="M25" s="53">
        <f t="shared" si="0"/>
        <v>5</v>
      </c>
      <c r="N25" s="53">
        <f t="shared" si="1"/>
        <v>0</v>
      </c>
      <c r="O25" s="53" t="str">
        <f t="shared" si="2"/>
        <v>3 ( 0 )</v>
      </c>
      <c r="P25" s="53" t="str">
        <f t="shared" si="3"/>
        <v>2 ( 0 )</v>
      </c>
      <c r="Q25">
        <v>17</v>
      </c>
      <c r="R25" s="53">
        <f t="shared" si="4"/>
        <v>3</v>
      </c>
      <c r="S25" s="53">
        <f t="shared" si="5"/>
        <v>0</v>
      </c>
      <c r="T25" s="53">
        <f t="shared" si="6"/>
        <v>2</v>
      </c>
      <c r="U25" s="53">
        <f t="shared" si="7"/>
        <v>0</v>
      </c>
      <c r="X25" s="133"/>
      <c r="Y25" s="133"/>
    </row>
    <row r="26" spans="1:25" x14ac:dyDescent="0.3">
      <c r="A26" s="118" t="s">
        <v>662</v>
      </c>
      <c r="B26" s="126">
        <v>15.03</v>
      </c>
      <c r="D26" s="47">
        <v>0.7680555555555556</v>
      </c>
      <c r="E26" s="133" t="s">
        <v>772</v>
      </c>
      <c r="F26" s="52" t="s">
        <v>743</v>
      </c>
      <c r="H26" s="118" t="s">
        <v>516</v>
      </c>
      <c r="I26" s="53">
        <v>7</v>
      </c>
      <c r="J26" s="53">
        <v>19</v>
      </c>
      <c r="L26" s="54">
        <v>23</v>
      </c>
      <c r="M26" s="54">
        <f t="shared" si="0"/>
        <v>0</v>
      </c>
      <c r="N26" s="54">
        <f t="shared" si="1"/>
        <v>0</v>
      </c>
      <c r="O26" s="54" t="str">
        <f t="shared" si="2"/>
        <v>0 ( 0 )</v>
      </c>
      <c r="P26" s="54" t="str">
        <f t="shared" si="3"/>
        <v>0 ( 0 )</v>
      </c>
      <c r="Q26">
        <v>18</v>
      </c>
      <c r="R26" s="53">
        <f t="shared" si="4"/>
        <v>0</v>
      </c>
      <c r="S26" s="53">
        <f t="shared" si="5"/>
        <v>0</v>
      </c>
      <c r="T26" s="53">
        <f t="shared" si="6"/>
        <v>0</v>
      </c>
      <c r="U26" s="53">
        <f t="shared" si="7"/>
        <v>0</v>
      </c>
      <c r="V26" s="53"/>
      <c r="X26" s="133"/>
      <c r="Y26" s="133"/>
    </row>
    <row r="27" spans="1:25" x14ac:dyDescent="0.3">
      <c r="D27" s="47">
        <v>0.78055555555555556</v>
      </c>
      <c r="E27" t="s">
        <v>772</v>
      </c>
      <c r="H27" s="118" t="s">
        <v>517</v>
      </c>
      <c r="I27" s="53">
        <v>19</v>
      </c>
      <c r="J27" s="53">
        <v>23</v>
      </c>
      <c r="L27" s="132" t="s">
        <v>764</v>
      </c>
      <c r="M27" s="53">
        <f>SUM(M4:M26)</f>
        <v>63</v>
      </c>
      <c r="N27" s="53">
        <f t="shared" ref="N27" si="8">SUM(N4:N26)</f>
        <v>13</v>
      </c>
      <c r="O27" s="53" t="str">
        <f>CONCATENATE(R27," ( ",S27," )","*")</f>
        <v>32 ( 7 )*</v>
      </c>
      <c r="P27" s="53" t="str">
        <f>CONCATENATE(T27," ( ",U27," )")</f>
        <v>31 ( 6 )</v>
      </c>
      <c r="Q27">
        <v>18</v>
      </c>
      <c r="R27" s="53">
        <f>SUM(R3:R26)</f>
        <v>32</v>
      </c>
      <c r="S27" s="53">
        <f>SUM(S3:S26)</f>
        <v>7</v>
      </c>
      <c r="T27" s="53">
        <f t="shared" ref="T27:U27" si="9">SUM(T3:T26)</f>
        <v>31</v>
      </c>
      <c r="U27" s="53">
        <f t="shared" si="9"/>
        <v>6</v>
      </c>
      <c r="V27" s="53"/>
      <c r="X27" s="133"/>
      <c r="Y27" s="133"/>
    </row>
    <row r="28" spans="1:25" x14ac:dyDescent="0.3">
      <c r="A28" s="79"/>
      <c r="B28" s="80" t="s">
        <v>601</v>
      </c>
      <c r="D28" s="47">
        <v>0.82013888888888886</v>
      </c>
      <c r="E28" t="s">
        <v>772</v>
      </c>
      <c r="H28" s="118" t="s">
        <v>518</v>
      </c>
      <c r="I28" s="53">
        <v>23</v>
      </c>
      <c r="J28" s="53">
        <v>6</v>
      </c>
      <c r="Q28">
        <v>19</v>
      </c>
      <c r="V28" s="53"/>
      <c r="X28" s="133"/>
      <c r="Y28" s="133"/>
    </row>
    <row r="29" spans="1:25" x14ac:dyDescent="0.3">
      <c r="A29" s="81"/>
      <c r="B29" s="80" t="s">
        <v>743</v>
      </c>
      <c r="D29" s="47">
        <v>0.82708333333333339</v>
      </c>
      <c r="E29" t="s">
        <v>772</v>
      </c>
      <c r="H29" s="64"/>
      <c r="I29" s="64"/>
      <c r="J29" s="64"/>
      <c r="K29" s="48"/>
      <c r="L29" t="str">
        <f>CONCATENATE("* - ",LEFT(O27,LEN(O27)-1)," :")</f>
        <v>* - 32 ( 7 ) :</v>
      </c>
      <c r="Q29">
        <v>19</v>
      </c>
      <c r="V29" s="53"/>
      <c r="X29" s="133"/>
      <c r="Y29" s="133"/>
    </row>
    <row r="30" spans="1:25" x14ac:dyDescent="0.3">
      <c r="A30" s="101"/>
      <c r="B30" s="80" t="s">
        <v>744</v>
      </c>
      <c r="D30" s="47">
        <v>0.84305555555555556</v>
      </c>
      <c r="E30" t="s">
        <v>772</v>
      </c>
      <c r="L30" t="str">
        <f>CONCATENATE("      ",R27," - all trains for direction ",O2,"; ")</f>
        <v xml:space="preserve">      32 - all trains for direction Narva - Tallinn; </v>
      </c>
      <c r="Q30">
        <v>20</v>
      </c>
      <c r="V30" s="53"/>
      <c r="X30" s="133"/>
      <c r="Y30" s="133"/>
    </row>
    <row r="31" spans="1:25" x14ac:dyDescent="0.3">
      <c r="A31" s="102"/>
      <c r="B31" s="135" t="s">
        <v>745</v>
      </c>
      <c r="D31" s="47">
        <v>0.86319444444444438</v>
      </c>
      <c r="E31" t="s">
        <v>772</v>
      </c>
      <c r="F31" s="52" t="s">
        <v>773</v>
      </c>
      <c r="L31" t="str">
        <f>CONCATENATE("      ",S27," - express trains for this direction.")</f>
        <v xml:space="preserve">      7 - express trains for this direction.</v>
      </c>
      <c r="Q31">
        <v>20</v>
      </c>
      <c r="V31" s="53"/>
      <c r="X31" s="133"/>
      <c r="Y31" s="133"/>
    </row>
    <row r="32" spans="1:25" x14ac:dyDescent="0.3">
      <c r="B32" s="135"/>
      <c r="D32" s="47">
        <v>0.92986111111111114</v>
      </c>
      <c r="E32" t="s">
        <v>772</v>
      </c>
      <c r="Q32">
        <v>22</v>
      </c>
      <c r="V32" s="53"/>
      <c r="X32" s="133"/>
      <c r="Y32" s="133"/>
    </row>
    <row r="33" spans="4:25" x14ac:dyDescent="0.3">
      <c r="D33" s="47">
        <v>0.93888888888888899</v>
      </c>
      <c r="E33" t="s">
        <v>772</v>
      </c>
      <c r="F33" s="52" t="s">
        <v>743</v>
      </c>
      <c r="Q33">
        <v>22</v>
      </c>
      <c r="V33" s="53"/>
      <c r="X33" s="133"/>
      <c r="Y33" s="133"/>
    </row>
    <row r="34" spans="4:25" x14ac:dyDescent="0.3">
      <c r="D34" s="47">
        <v>0.95208333333333339</v>
      </c>
      <c r="E34" t="s">
        <v>772</v>
      </c>
      <c r="Q34">
        <v>22</v>
      </c>
      <c r="V34" s="53"/>
      <c r="X34" s="133"/>
      <c r="Y34" s="133"/>
    </row>
    <row r="35" spans="4:25" x14ac:dyDescent="0.3">
      <c r="D35" s="47">
        <v>0.25138888888888888</v>
      </c>
      <c r="E35" t="s">
        <v>774</v>
      </c>
      <c r="F35" s="52" t="s">
        <v>744</v>
      </c>
      <c r="Q35">
        <v>6</v>
      </c>
      <c r="V35" s="53"/>
      <c r="X35" s="133"/>
      <c r="Y35" s="133"/>
    </row>
    <row r="36" spans="4:25" x14ac:dyDescent="0.3">
      <c r="D36" s="47">
        <v>0.2673611111111111</v>
      </c>
      <c r="E36" t="s">
        <v>774</v>
      </c>
      <c r="Q36">
        <v>6</v>
      </c>
      <c r="V36" s="53"/>
      <c r="X36" s="133"/>
      <c r="Y36" s="133"/>
    </row>
    <row r="37" spans="4:25" x14ac:dyDescent="0.3">
      <c r="D37" s="47">
        <v>0.30694444444444441</v>
      </c>
      <c r="E37" t="s">
        <v>774</v>
      </c>
      <c r="F37" s="52" t="s">
        <v>744</v>
      </c>
      <c r="Q37">
        <v>7</v>
      </c>
      <c r="V37" s="53"/>
      <c r="X37" s="133"/>
      <c r="Y37" s="133"/>
    </row>
    <row r="38" spans="4:25" x14ac:dyDescent="0.3">
      <c r="D38" s="47">
        <v>0.33749999999999997</v>
      </c>
      <c r="E38" t="s">
        <v>774</v>
      </c>
      <c r="Q38">
        <v>8</v>
      </c>
      <c r="V38" s="53"/>
      <c r="X38" s="133"/>
      <c r="Y38" s="133"/>
    </row>
    <row r="39" spans="4:25" x14ac:dyDescent="0.3">
      <c r="D39" s="47">
        <v>0.34722222222222227</v>
      </c>
      <c r="E39" t="s">
        <v>774</v>
      </c>
      <c r="F39" s="52" t="s">
        <v>773</v>
      </c>
      <c r="Q39">
        <v>8</v>
      </c>
      <c r="V39" s="53"/>
      <c r="X39" s="133"/>
      <c r="Y39" s="133"/>
    </row>
    <row r="40" spans="4:25" x14ac:dyDescent="0.3">
      <c r="D40" s="47">
        <v>0.35694444444444445</v>
      </c>
      <c r="E40" t="s">
        <v>774</v>
      </c>
      <c r="Q40">
        <v>8</v>
      </c>
      <c r="V40" s="53"/>
      <c r="X40" s="133"/>
      <c r="Y40" s="133"/>
    </row>
    <row r="41" spans="4:25" x14ac:dyDescent="0.3">
      <c r="D41" s="47">
        <v>0.40902777777777777</v>
      </c>
      <c r="E41" t="s">
        <v>774</v>
      </c>
      <c r="F41" s="52" t="s">
        <v>773</v>
      </c>
      <c r="Q41">
        <v>9</v>
      </c>
      <c r="X41" s="133"/>
      <c r="Y41" s="133"/>
    </row>
    <row r="42" spans="4:25" x14ac:dyDescent="0.3">
      <c r="D42" s="47">
        <v>0.42291666666666666</v>
      </c>
      <c r="E42" t="s">
        <v>774</v>
      </c>
      <c r="Q42">
        <v>10</v>
      </c>
      <c r="X42" s="133"/>
      <c r="Y42" s="133"/>
    </row>
    <row r="43" spans="4:25" x14ac:dyDescent="0.3">
      <c r="D43" s="47">
        <v>0.47291666666666665</v>
      </c>
      <c r="E43" t="s">
        <v>774</v>
      </c>
      <c r="F43" s="52" t="s">
        <v>773</v>
      </c>
      <c r="Q43">
        <v>11</v>
      </c>
      <c r="X43" s="133"/>
      <c r="Y43" s="133"/>
    </row>
    <row r="44" spans="4:25" x14ac:dyDescent="0.3">
      <c r="D44" s="47">
        <v>0.48888888888888887</v>
      </c>
      <c r="E44" t="s">
        <v>774</v>
      </c>
      <c r="Q44">
        <v>11</v>
      </c>
      <c r="X44" s="133"/>
      <c r="Y44" s="133"/>
    </row>
    <row r="45" spans="4:25" x14ac:dyDescent="0.3">
      <c r="D45" s="47">
        <v>0.51458333333333328</v>
      </c>
      <c r="E45" t="s">
        <v>774</v>
      </c>
      <c r="Q45">
        <v>12</v>
      </c>
      <c r="X45" s="133"/>
      <c r="Y45" s="133"/>
    </row>
    <row r="46" spans="4:25" x14ac:dyDescent="0.3">
      <c r="D46" s="47">
        <v>0.53888888888888886</v>
      </c>
      <c r="E46" t="s">
        <v>774</v>
      </c>
      <c r="Q46">
        <v>12</v>
      </c>
      <c r="X46" s="133"/>
      <c r="Y46" s="133"/>
    </row>
    <row r="47" spans="4:25" x14ac:dyDescent="0.3">
      <c r="D47" s="47">
        <v>0.55347222222222225</v>
      </c>
      <c r="E47" t="s">
        <v>774</v>
      </c>
      <c r="Q47">
        <v>13</v>
      </c>
      <c r="X47" s="133"/>
      <c r="Y47" s="133"/>
    </row>
    <row r="48" spans="4:25" x14ac:dyDescent="0.3">
      <c r="D48" s="47">
        <v>0.57847222222222217</v>
      </c>
      <c r="E48" t="s">
        <v>774</v>
      </c>
      <c r="Q48">
        <v>13</v>
      </c>
      <c r="X48" s="133"/>
      <c r="Y48" s="133"/>
    </row>
    <row r="49" spans="4:17" x14ac:dyDescent="0.3">
      <c r="D49" s="47">
        <v>0.59444444444444444</v>
      </c>
      <c r="E49" s="48" t="s">
        <v>774</v>
      </c>
      <c r="F49" s="52" t="s">
        <v>743</v>
      </c>
      <c r="Q49">
        <v>14</v>
      </c>
    </row>
    <row r="50" spans="4:17" x14ac:dyDescent="0.3">
      <c r="D50" s="47">
        <v>0.61111111111111105</v>
      </c>
      <c r="E50" t="s">
        <v>774</v>
      </c>
      <c r="Q50">
        <v>14</v>
      </c>
    </row>
    <row r="51" spans="4:17" x14ac:dyDescent="0.3">
      <c r="D51" s="47">
        <v>0.63124999999999998</v>
      </c>
      <c r="E51" t="s">
        <v>774</v>
      </c>
      <c r="Q51">
        <v>15</v>
      </c>
    </row>
    <row r="52" spans="4:17" x14ac:dyDescent="0.3">
      <c r="D52" s="47">
        <v>0.64513888888888882</v>
      </c>
      <c r="E52" t="s">
        <v>774</v>
      </c>
      <c r="F52" s="52" t="s">
        <v>773</v>
      </c>
      <c r="Q52">
        <v>15</v>
      </c>
    </row>
    <row r="53" spans="4:17" x14ac:dyDescent="0.3">
      <c r="D53" s="47">
        <v>0.68125000000000002</v>
      </c>
      <c r="E53" t="s">
        <v>774</v>
      </c>
      <c r="Q53">
        <v>16</v>
      </c>
    </row>
    <row r="54" spans="4:17" x14ac:dyDescent="0.3">
      <c r="D54" s="47">
        <v>0.6958333333333333</v>
      </c>
      <c r="E54" t="s">
        <v>774</v>
      </c>
      <c r="Q54">
        <v>16</v>
      </c>
    </row>
    <row r="55" spans="4:17" x14ac:dyDescent="0.3">
      <c r="D55" s="47">
        <v>0.71805555555555556</v>
      </c>
      <c r="E55" t="s">
        <v>774</v>
      </c>
      <c r="Q55">
        <v>17</v>
      </c>
    </row>
    <row r="56" spans="4:17" x14ac:dyDescent="0.3">
      <c r="D56" s="47">
        <v>0.73125000000000007</v>
      </c>
      <c r="E56" t="s">
        <v>774</v>
      </c>
      <c r="Q56">
        <v>17</v>
      </c>
    </row>
    <row r="57" spans="4:17" x14ac:dyDescent="0.3">
      <c r="D57" s="47">
        <v>0.74305555555555547</v>
      </c>
      <c r="E57" t="s">
        <v>774</v>
      </c>
      <c r="F57" s="52" t="s">
        <v>773</v>
      </c>
      <c r="Q57">
        <v>17</v>
      </c>
    </row>
    <row r="58" spans="4:17" x14ac:dyDescent="0.3">
      <c r="D58" s="47">
        <v>0.79375000000000007</v>
      </c>
      <c r="E58" t="s">
        <v>774</v>
      </c>
      <c r="Q58">
        <v>19</v>
      </c>
    </row>
    <row r="59" spans="4:17" x14ac:dyDescent="0.3">
      <c r="D59" s="47">
        <v>0.80763888888888891</v>
      </c>
      <c r="E59" t="s">
        <v>774</v>
      </c>
      <c r="Q59">
        <v>19</v>
      </c>
    </row>
    <row r="60" spans="4:17" x14ac:dyDescent="0.3">
      <c r="D60" s="47">
        <v>0.8256944444444444</v>
      </c>
      <c r="E60" t="s">
        <v>774</v>
      </c>
      <c r="F60" s="52" t="s">
        <v>743</v>
      </c>
      <c r="Q60">
        <v>19</v>
      </c>
    </row>
    <row r="61" spans="4:17" x14ac:dyDescent="0.3">
      <c r="D61" s="47">
        <v>0.84166666666666667</v>
      </c>
      <c r="E61" t="s">
        <v>774</v>
      </c>
      <c r="Q61">
        <v>20</v>
      </c>
    </row>
    <row r="62" spans="4:17" x14ac:dyDescent="0.3">
      <c r="D62" s="47">
        <v>0.87638888888888899</v>
      </c>
      <c r="E62" t="s">
        <v>774</v>
      </c>
      <c r="F62" s="52" t="s">
        <v>773</v>
      </c>
      <c r="Q62">
        <v>21</v>
      </c>
    </row>
    <row r="63" spans="4:17" x14ac:dyDescent="0.3">
      <c r="D63" s="47">
        <v>0.90208333333333324</v>
      </c>
      <c r="E63" t="s">
        <v>774</v>
      </c>
      <c r="Q63">
        <v>21</v>
      </c>
    </row>
    <row r="64" spans="4:17" x14ac:dyDescent="0.3">
      <c r="D64" s="47">
        <v>0.9194444444444444</v>
      </c>
      <c r="E64" t="s">
        <v>774</v>
      </c>
      <c r="Q64">
        <v>22</v>
      </c>
    </row>
    <row r="65" spans="4:17" x14ac:dyDescent="0.3">
      <c r="D65" s="47">
        <v>0.95416666666666661</v>
      </c>
      <c r="E65" t="s">
        <v>774</v>
      </c>
      <c r="Q65">
        <v>22</v>
      </c>
    </row>
    <row r="66" spans="4:17" x14ac:dyDescent="0.3">
      <c r="D66" s="47"/>
      <c r="Q66">
        <v>25</v>
      </c>
    </row>
    <row r="67" spans="4:17" x14ac:dyDescent="0.3">
      <c r="D67" s="47"/>
      <c r="Q67">
        <v>25</v>
      </c>
    </row>
    <row r="68" spans="4:17" x14ac:dyDescent="0.3">
      <c r="D68" s="47"/>
      <c r="Q68">
        <v>25</v>
      </c>
    </row>
    <row r="69" spans="4:17" x14ac:dyDescent="0.3">
      <c r="D69" s="47"/>
      <c r="Q69">
        <v>25</v>
      </c>
    </row>
    <row r="70" spans="4:17" x14ac:dyDescent="0.3">
      <c r="D70" s="47"/>
      <c r="Q70">
        <v>25</v>
      </c>
    </row>
    <row r="71" spans="4:17" x14ac:dyDescent="0.3">
      <c r="D71" s="47"/>
      <c r="Q71">
        <v>25</v>
      </c>
    </row>
    <row r="72" spans="4:17" x14ac:dyDescent="0.3">
      <c r="D72" s="47"/>
      <c r="Q72">
        <v>25</v>
      </c>
    </row>
    <row r="73" spans="4:17" x14ac:dyDescent="0.3">
      <c r="D73" s="47"/>
      <c r="Q73">
        <v>25</v>
      </c>
    </row>
    <row r="74" spans="4:17" x14ac:dyDescent="0.3">
      <c r="D74" s="47"/>
      <c r="Q74">
        <v>25</v>
      </c>
    </row>
    <row r="75" spans="4:17" x14ac:dyDescent="0.3">
      <c r="D75" s="47"/>
      <c r="Q75">
        <v>25</v>
      </c>
    </row>
    <row r="76" spans="4:17" x14ac:dyDescent="0.3">
      <c r="D76" s="47"/>
      <c r="Q76">
        <v>25</v>
      </c>
    </row>
    <row r="77" spans="4:17" x14ac:dyDescent="0.3">
      <c r="D77" s="47"/>
      <c r="Q77">
        <v>25</v>
      </c>
    </row>
    <row r="78" spans="4:17" x14ac:dyDescent="0.3">
      <c r="D78" s="47"/>
      <c r="Q78">
        <v>25</v>
      </c>
    </row>
    <row r="79" spans="4:17" x14ac:dyDescent="0.3">
      <c r="D79" s="47"/>
      <c r="Q79">
        <v>25</v>
      </c>
    </row>
    <row r="80" spans="4:17" x14ac:dyDescent="0.3">
      <c r="D80" s="47"/>
      <c r="Q80">
        <v>25</v>
      </c>
    </row>
    <row r="81" spans="4:17" x14ac:dyDescent="0.3">
      <c r="D81" s="47"/>
      <c r="Q81">
        <v>25</v>
      </c>
    </row>
    <row r="82" spans="4:17" x14ac:dyDescent="0.3">
      <c r="D82" s="47"/>
      <c r="Q82">
        <v>25</v>
      </c>
    </row>
    <row r="83" spans="4:17" x14ac:dyDescent="0.3">
      <c r="D83" s="47"/>
      <c r="Q83">
        <v>25</v>
      </c>
    </row>
    <row r="84" spans="4:17" x14ac:dyDescent="0.3">
      <c r="D84" s="47"/>
      <c r="Q84">
        <v>25</v>
      </c>
    </row>
    <row r="85" spans="4:17" x14ac:dyDescent="0.3">
      <c r="D85" s="47"/>
      <c r="Q85">
        <v>25</v>
      </c>
    </row>
    <row r="86" spans="4:17" x14ac:dyDescent="0.3">
      <c r="D86" s="47"/>
      <c r="Q86">
        <v>25</v>
      </c>
    </row>
    <row r="87" spans="4:17" x14ac:dyDescent="0.3">
      <c r="D87" s="47"/>
      <c r="Q87">
        <v>25</v>
      </c>
    </row>
    <row r="88" spans="4:17" x14ac:dyDescent="0.3">
      <c r="D88" s="47"/>
      <c r="Q88">
        <v>25</v>
      </c>
    </row>
    <row r="89" spans="4:17" x14ac:dyDescent="0.3">
      <c r="D89" s="47"/>
      <c r="Q89">
        <v>25</v>
      </c>
    </row>
    <row r="90" spans="4:17" x14ac:dyDescent="0.3">
      <c r="D90" s="47"/>
      <c r="Q90">
        <v>25</v>
      </c>
    </row>
    <row r="91" spans="4:17" x14ac:dyDescent="0.3">
      <c r="D91" s="47"/>
      <c r="Q91">
        <v>25</v>
      </c>
    </row>
    <row r="92" spans="4:17" x14ac:dyDescent="0.3">
      <c r="D92" s="47"/>
      <c r="Q92">
        <v>25</v>
      </c>
    </row>
    <row r="93" spans="4:17" x14ac:dyDescent="0.3">
      <c r="D93" s="47"/>
      <c r="Q93">
        <v>25</v>
      </c>
    </row>
    <row r="94" spans="4:17" x14ac:dyDescent="0.3">
      <c r="D94" s="47"/>
      <c r="Q94">
        <v>25</v>
      </c>
    </row>
    <row r="95" spans="4:17" x14ac:dyDescent="0.3">
      <c r="D95" s="47"/>
      <c r="Q95">
        <v>25</v>
      </c>
    </row>
    <row r="96" spans="4:17" x14ac:dyDescent="0.3">
      <c r="D96" s="47"/>
      <c r="Q96">
        <v>25</v>
      </c>
    </row>
    <row r="97" spans="4:17" x14ac:dyDescent="0.3">
      <c r="D97" s="47"/>
      <c r="Q97">
        <v>25</v>
      </c>
    </row>
    <row r="98" spans="4:17" x14ac:dyDescent="0.3">
      <c r="D98" s="47"/>
      <c r="Q98">
        <v>25</v>
      </c>
    </row>
    <row r="99" spans="4:17" x14ac:dyDescent="0.3">
      <c r="D99" s="47"/>
      <c r="Q99">
        <v>25</v>
      </c>
    </row>
    <row r="100" spans="4:17" x14ac:dyDescent="0.3">
      <c r="D100" s="47"/>
      <c r="Q100">
        <v>25</v>
      </c>
    </row>
    <row r="101" spans="4:17" x14ac:dyDescent="0.3">
      <c r="D101" s="47"/>
      <c r="Q101">
        <v>25</v>
      </c>
    </row>
    <row r="102" spans="4:17" x14ac:dyDescent="0.3">
      <c r="D102" s="47"/>
      <c r="Q102">
        <v>25</v>
      </c>
    </row>
    <row r="103" spans="4:17" x14ac:dyDescent="0.3">
      <c r="D103" s="47"/>
      <c r="Q103">
        <v>25</v>
      </c>
    </row>
    <row r="104" spans="4:17" x14ac:dyDescent="0.3">
      <c r="D104" s="47"/>
      <c r="Q104">
        <v>25</v>
      </c>
    </row>
    <row r="105" spans="4:17" x14ac:dyDescent="0.3">
      <c r="D105" s="47"/>
      <c r="Q105">
        <v>25</v>
      </c>
    </row>
    <row r="106" spans="4:17" x14ac:dyDescent="0.3">
      <c r="D106" s="47"/>
      <c r="Q106">
        <v>25</v>
      </c>
    </row>
    <row r="107" spans="4:17" x14ac:dyDescent="0.3">
      <c r="D107" s="47"/>
      <c r="Q107">
        <v>25</v>
      </c>
    </row>
    <row r="108" spans="4:17" x14ac:dyDescent="0.3">
      <c r="D108" s="47"/>
      <c r="Q108">
        <v>25</v>
      </c>
    </row>
    <row r="109" spans="4:17" x14ac:dyDescent="0.3">
      <c r="D109" s="47"/>
      <c r="Q109">
        <v>25</v>
      </c>
    </row>
    <row r="110" spans="4:17" x14ac:dyDescent="0.3">
      <c r="D110" s="47"/>
      <c r="Q110">
        <v>25</v>
      </c>
    </row>
    <row r="111" spans="4:17" x14ac:dyDescent="0.3">
      <c r="D111" s="47"/>
      <c r="Q111">
        <v>25</v>
      </c>
    </row>
    <row r="112" spans="4:17" x14ac:dyDescent="0.3">
      <c r="D112" s="47"/>
      <c r="Q112">
        <v>25</v>
      </c>
    </row>
    <row r="113" spans="17:17" x14ac:dyDescent="0.3">
      <c r="Q113">
        <v>25</v>
      </c>
    </row>
    <row r="114" spans="17:17" x14ac:dyDescent="0.3">
      <c r="Q114">
        <v>25</v>
      </c>
    </row>
    <row r="115" spans="17:17" x14ac:dyDescent="0.3">
      <c r="Q115">
        <v>25</v>
      </c>
    </row>
    <row r="116" spans="17:17" x14ac:dyDescent="0.3">
      <c r="Q116">
        <v>25</v>
      </c>
    </row>
    <row r="117" spans="17:17" x14ac:dyDescent="0.3">
      <c r="Q117">
        <v>25</v>
      </c>
    </row>
    <row r="118" spans="17:17" x14ac:dyDescent="0.3">
      <c r="Q118">
        <v>25</v>
      </c>
    </row>
    <row r="119" spans="17:17" x14ac:dyDescent="0.3">
      <c r="Q119">
        <v>25</v>
      </c>
    </row>
    <row r="120" spans="17:17" x14ac:dyDescent="0.3">
      <c r="Q120">
        <v>25</v>
      </c>
    </row>
    <row r="121" spans="17:17" x14ac:dyDescent="0.3">
      <c r="Q121">
        <v>25</v>
      </c>
    </row>
    <row r="122" spans="17:17" x14ac:dyDescent="0.3">
      <c r="Q122">
        <v>25</v>
      </c>
    </row>
    <row r="123" spans="17:17" x14ac:dyDescent="0.3">
      <c r="Q123">
        <v>25</v>
      </c>
    </row>
    <row r="124" spans="17:17" x14ac:dyDescent="0.3">
      <c r="Q124">
        <v>25</v>
      </c>
    </row>
    <row r="125" spans="17:17" x14ac:dyDescent="0.3">
      <c r="Q125">
        <v>25</v>
      </c>
    </row>
    <row r="126" spans="17:17" x14ac:dyDescent="0.3">
      <c r="Q126">
        <v>25</v>
      </c>
    </row>
    <row r="127" spans="17:17" x14ac:dyDescent="0.3">
      <c r="Q127">
        <v>25</v>
      </c>
    </row>
    <row r="128" spans="17:17" x14ac:dyDescent="0.3">
      <c r="Q128">
        <v>25</v>
      </c>
    </row>
    <row r="129" spans="17:17" x14ac:dyDescent="0.3">
      <c r="Q129">
        <v>25</v>
      </c>
    </row>
    <row r="130" spans="17:17" x14ac:dyDescent="0.3">
      <c r="Q130">
        <v>25</v>
      </c>
    </row>
    <row r="131" spans="17:17" x14ac:dyDescent="0.3">
      <c r="Q131">
        <v>25</v>
      </c>
    </row>
    <row r="132" spans="17:17" x14ac:dyDescent="0.3">
      <c r="Q132">
        <v>25</v>
      </c>
    </row>
    <row r="133" spans="17:17" x14ac:dyDescent="0.3">
      <c r="Q133">
        <v>25</v>
      </c>
    </row>
    <row r="134" spans="17:17" x14ac:dyDescent="0.3">
      <c r="Q134">
        <v>25</v>
      </c>
    </row>
    <row r="135" spans="17:17" x14ac:dyDescent="0.3">
      <c r="Q135">
        <v>25</v>
      </c>
    </row>
    <row r="136" spans="17:17" x14ac:dyDescent="0.3">
      <c r="Q136">
        <v>25</v>
      </c>
    </row>
    <row r="137" spans="17:17" x14ac:dyDescent="0.3">
      <c r="Q137">
        <v>25</v>
      </c>
    </row>
    <row r="138" spans="17:17" x14ac:dyDescent="0.3">
      <c r="Q138">
        <v>25</v>
      </c>
    </row>
    <row r="139" spans="17:17" x14ac:dyDescent="0.3">
      <c r="Q139">
        <v>25</v>
      </c>
    </row>
    <row r="140" spans="17:17" x14ac:dyDescent="0.3">
      <c r="Q140">
        <v>25</v>
      </c>
    </row>
    <row r="141" spans="17:17" x14ac:dyDescent="0.3">
      <c r="Q141">
        <v>25</v>
      </c>
    </row>
    <row r="142" spans="17:17" x14ac:dyDescent="0.3">
      <c r="Q142">
        <v>25</v>
      </c>
    </row>
    <row r="143" spans="17:17" x14ac:dyDescent="0.3">
      <c r="Q143">
        <v>25</v>
      </c>
    </row>
    <row r="144" spans="17:17" x14ac:dyDescent="0.3">
      <c r="Q144">
        <v>25</v>
      </c>
    </row>
    <row r="145" spans="17:17" x14ac:dyDescent="0.3">
      <c r="Q145">
        <v>25</v>
      </c>
    </row>
    <row r="146" spans="17:17" x14ac:dyDescent="0.3">
      <c r="Q146">
        <v>25</v>
      </c>
    </row>
    <row r="147" spans="17:17" x14ac:dyDescent="0.3">
      <c r="Q147">
        <v>25</v>
      </c>
    </row>
    <row r="148" spans="17:17" x14ac:dyDescent="0.3">
      <c r="Q148">
        <v>25</v>
      </c>
    </row>
    <row r="149" spans="17:17" x14ac:dyDescent="0.3">
      <c r="Q149">
        <v>25</v>
      </c>
    </row>
    <row r="150" spans="17:17" x14ac:dyDescent="0.3">
      <c r="Q150">
        <v>25</v>
      </c>
    </row>
    <row r="151" spans="17:17" x14ac:dyDescent="0.3">
      <c r="Q151">
        <v>25</v>
      </c>
    </row>
    <row r="152" spans="17:17" x14ac:dyDescent="0.3">
      <c r="Q152">
        <v>25</v>
      </c>
    </row>
    <row r="153" spans="17:17" x14ac:dyDescent="0.3">
      <c r="Q153">
        <v>25</v>
      </c>
    </row>
    <row r="154" spans="17:17" x14ac:dyDescent="0.3">
      <c r="Q154">
        <v>25</v>
      </c>
    </row>
    <row r="155" spans="17:17" x14ac:dyDescent="0.3">
      <c r="Q155">
        <v>25</v>
      </c>
    </row>
    <row r="156" spans="17:17" x14ac:dyDescent="0.3">
      <c r="Q156">
        <v>25</v>
      </c>
    </row>
    <row r="157" spans="17:17" x14ac:dyDescent="0.3">
      <c r="Q157">
        <v>25</v>
      </c>
    </row>
    <row r="158" spans="17:17" x14ac:dyDescent="0.3">
      <c r="Q158">
        <v>25</v>
      </c>
    </row>
    <row r="159" spans="17:17" x14ac:dyDescent="0.3">
      <c r="Q159">
        <v>25</v>
      </c>
    </row>
    <row r="160" spans="17:17" x14ac:dyDescent="0.3">
      <c r="Q160">
        <v>25</v>
      </c>
    </row>
    <row r="161" spans="17:17" x14ac:dyDescent="0.3">
      <c r="Q161">
        <v>25</v>
      </c>
    </row>
    <row r="162" spans="17:17" x14ac:dyDescent="0.3">
      <c r="Q162">
        <v>25</v>
      </c>
    </row>
    <row r="163" spans="17:17" x14ac:dyDescent="0.3">
      <c r="Q163">
        <v>25</v>
      </c>
    </row>
    <row r="164" spans="17:17" x14ac:dyDescent="0.3">
      <c r="Q164">
        <v>25</v>
      </c>
    </row>
    <row r="165" spans="17:17" x14ac:dyDescent="0.3">
      <c r="Q165">
        <v>25</v>
      </c>
    </row>
    <row r="166" spans="17:17" x14ac:dyDescent="0.3">
      <c r="Q166">
        <v>25</v>
      </c>
    </row>
    <row r="167" spans="17:17" x14ac:dyDescent="0.3">
      <c r="Q167">
        <v>25</v>
      </c>
    </row>
    <row r="168" spans="17:17" x14ac:dyDescent="0.3">
      <c r="Q168">
        <v>25</v>
      </c>
    </row>
    <row r="169" spans="17:17" x14ac:dyDescent="0.3">
      <c r="Q169">
        <v>25</v>
      </c>
    </row>
    <row r="170" spans="17:17" x14ac:dyDescent="0.3">
      <c r="Q170">
        <v>25</v>
      </c>
    </row>
    <row r="171" spans="17:17" x14ac:dyDescent="0.3">
      <c r="Q171">
        <v>25</v>
      </c>
    </row>
    <row r="172" spans="17:17" x14ac:dyDescent="0.3">
      <c r="Q172">
        <v>25</v>
      </c>
    </row>
    <row r="173" spans="17:17" x14ac:dyDescent="0.3">
      <c r="Q173">
        <v>25</v>
      </c>
    </row>
    <row r="174" spans="17:17" x14ac:dyDescent="0.3">
      <c r="Q174">
        <v>25</v>
      </c>
    </row>
    <row r="175" spans="17:17" x14ac:dyDescent="0.3">
      <c r="Q175">
        <v>25</v>
      </c>
    </row>
    <row r="176" spans="17:17" x14ac:dyDescent="0.3">
      <c r="Q176">
        <v>25</v>
      </c>
    </row>
    <row r="177" spans="17:17" x14ac:dyDescent="0.3">
      <c r="Q177">
        <v>25</v>
      </c>
    </row>
    <row r="178" spans="17:17" x14ac:dyDescent="0.3">
      <c r="Q178">
        <v>25</v>
      </c>
    </row>
    <row r="179" spans="17:17" x14ac:dyDescent="0.3">
      <c r="Q179">
        <v>25</v>
      </c>
    </row>
    <row r="180" spans="17:17" x14ac:dyDescent="0.3">
      <c r="Q180">
        <v>25</v>
      </c>
    </row>
    <row r="181" spans="17:17" x14ac:dyDescent="0.3">
      <c r="Q181">
        <v>25</v>
      </c>
    </row>
    <row r="182" spans="17:17" x14ac:dyDescent="0.3">
      <c r="Q182">
        <v>25</v>
      </c>
    </row>
    <row r="183" spans="17:17" x14ac:dyDescent="0.3">
      <c r="Q183">
        <v>25</v>
      </c>
    </row>
    <row r="184" spans="17:17" x14ac:dyDescent="0.3">
      <c r="Q184">
        <v>25</v>
      </c>
    </row>
    <row r="185" spans="17:17" x14ac:dyDescent="0.3">
      <c r="Q185">
        <v>25</v>
      </c>
    </row>
    <row r="186" spans="17:17" x14ac:dyDescent="0.3">
      <c r="Q186">
        <v>25</v>
      </c>
    </row>
    <row r="187" spans="17:17" x14ac:dyDescent="0.3">
      <c r="Q187">
        <v>25</v>
      </c>
    </row>
    <row r="188" spans="17:17" x14ac:dyDescent="0.3">
      <c r="Q188">
        <v>25</v>
      </c>
    </row>
    <row r="189" spans="17:17" x14ac:dyDescent="0.3">
      <c r="Q189">
        <v>25</v>
      </c>
    </row>
    <row r="190" spans="17:17" x14ac:dyDescent="0.3">
      <c r="Q190">
        <v>25</v>
      </c>
    </row>
    <row r="191" spans="17:17" x14ac:dyDescent="0.3">
      <c r="Q191">
        <v>25</v>
      </c>
    </row>
    <row r="192" spans="17:17" x14ac:dyDescent="0.3">
      <c r="Q192">
        <v>25</v>
      </c>
    </row>
    <row r="193" spans="17:17" x14ac:dyDescent="0.3">
      <c r="Q193">
        <v>25</v>
      </c>
    </row>
    <row r="194" spans="17:17" x14ac:dyDescent="0.3">
      <c r="Q194">
        <v>25</v>
      </c>
    </row>
    <row r="195" spans="17:17" x14ac:dyDescent="0.3">
      <c r="Q195">
        <v>25</v>
      </c>
    </row>
    <row r="196" spans="17:17" x14ac:dyDescent="0.3">
      <c r="Q196">
        <v>25</v>
      </c>
    </row>
    <row r="197" spans="17:17" x14ac:dyDescent="0.3">
      <c r="Q197">
        <v>25</v>
      </c>
    </row>
    <row r="198" spans="17:17" x14ac:dyDescent="0.3">
      <c r="Q198">
        <v>25</v>
      </c>
    </row>
    <row r="199" spans="17:17" x14ac:dyDescent="0.3">
      <c r="Q199">
        <v>25</v>
      </c>
    </row>
    <row r="200" spans="17:17" x14ac:dyDescent="0.3">
      <c r="Q200">
        <v>25</v>
      </c>
    </row>
    <row r="201" spans="17:17" x14ac:dyDescent="0.3">
      <c r="Q201">
        <v>25</v>
      </c>
    </row>
    <row r="202" spans="17:17" x14ac:dyDescent="0.3">
      <c r="Q202">
        <v>25</v>
      </c>
    </row>
    <row r="203" spans="17:17" x14ac:dyDescent="0.3">
      <c r="Q203">
        <v>25</v>
      </c>
    </row>
    <row r="204" spans="17:17" x14ac:dyDescent="0.3">
      <c r="Q204">
        <v>25</v>
      </c>
    </row>
    <row r="205" spans="17:17" x14ac:dyDescent="0.3">
      <c r="Q205">
        <v>25</v>
      </c>
    </row>
    <row r="206" spans="17:17" x14ac:dyDescent="0.3">
      <c r="Q206">
        <v>25</v>
      </c>
    </row>
    <row r="207" spans="17:17" x14ac:dyDescent="0.3">
      <c r="Q207">
        <v>25</v>
      </c>
    </row>
    <row r="208" spans="17:17" x14ac:dyDescent="0.3">
      <c r="Q208">
        <v>25</v>
      </c>
    </row>
    <row r="209" spans="17:17" x14ac:dyDescent="0.3">
      <c r="Q209">
        <v>25</v>
      </c>
    </row>
    <row r="210" spans="17:17" x14ac:dyDescent="0.3">
      <c r="Q210">
        <v>25</v>
      </c>
    </row>
    <row r="211" spans="17:17" x14ac:dyDescent="0.3">
      <c r="Q211">
        <v>25</v>
      </c>
    </row>
    <row r="212" spans="17:17" x14ac:dyDescent="0.3">
      <c r="Q212">
        <v>25</v>
      </c>
    </row>
    <row r="213" spans="17:17" x14ac:dyDescent="0.3">
      <c r="Q213">
        <v>25</v>
      </c>
    </row>
    <row r="214" spans="17:17" x14ac:dyDescent="0.3">
      <c r="Q214">
        <v>25</v>
      </c>
    </row>
    <row r="215" spans="17:17" x14ac:dyDescent="0.3">
      <c r="Q215">
        <v>25</v>
      </c>
    </row>
    <row r="216" spans="17:17" x14ac:dyDescent="0.3">
      <c r="Q216">
        <v>25</v>
      </c>
    </row>
    <row r="217" spans="17:17" x14ac:dyDescent="0.3">
      <c r="Q217">
        <v>25</v>
      </c>
    </row>
    <row r="218" spans="17:17" x14ac:dyDescent="0.3">
      <c r="Q218">
        <v>25</v>
      </c>
    </row>
    <row r="219" spans="17:17" x14ac:dyDescent="0.3">
      <c r="Q219">
        <v>25</v>
      </c>
    </row>
    <row r="220" spans="17:17" x14ac:dyDescent="0.3">
      <c r="Q220">
        <v>25</v>
      </c>
    </row>
    <row r="221" spans="17:17" x14ac:dyDescent="0.3">
      <c r="Q221">
        <v>25</v>
      </c>
    </row>
    <row r="222" spans="17:17" x14ac:dyDescent="0.3">
      <c r="Q222">
        <v>25</v>
      </c>
    </row>
    <row r="223" spans="17:17" x14ac:dyDescent="0.3">
      <c r="Q223">
        <v>25</v>
      </c>
    </row>
    <row r="224" spans="17:17" x14ac:dyDescent="0.3">
      <c r="Q224">
        <v>25</v>
      </c>
    </row>
    <row r="225" spans="17:17" x14ac:dyDescent="0.3">
      <c r="Q225">
        <v>25</v>
      </c>
    </row>
    <row r="226" spans="17:17" x14ac:dyDescent="0.3">
      <c r="Q226">
        <v>25</v>
      </c>
    </row>
    <row r="227" spans="17:17" x14ac:dyDescent="0.3">
      <c r="Q227">
        <v>25</v>
      </c>
    </row>
    <row r="228" spans="17:17" x14ac:dyDescent="0.3">
      <c r="Q228">
        <v>25</v>
      </c>
    </row>
    <row r="229" spans="17:17" x14ac:dyDescent="0.3">
      <c r="Q229">
        <v>25</v>
      </c>
    </row>
    <row r="230" spans="17:17" x14ac:dyDescent="0.3">
      <c r="Q230">
        <v>25</v>
      </c>
    </row>
    <row r="231" spans="17:17" x14ac:dyDescent="0.3">
      <c r="Q231">
        <v>25</v>
      </c>
    </row>
    <row r="232" spans="17:17" x14ac:dyDescent="0.3">
      <c r="Q232">
        <v>25</v>
      </c>
    </row>
    <row r="233" spans="17:17" x14ac:dyDescent="0.3">
      <c r="Q233">
        <v>25</v>
      </c>
    </row>
    <row r="234" spans="17:17" x14ac:dyDescent="0.3">
      <c r="Q234">
        <v>25</v>
      </c>
    </row>
    <row r="235" spans="17:17" x14ac:dyDescent="0.3">
      <c r="Q235">
        <v>25</v>
      </c>
    </row>
    <row r="236" spans="17:17" x14ac:dyDescent="0.3">
      <c r="Q236">
        <v>25</v>
      </c>
    </row>
    <row r="237" spans="17:17" x14ac:dyDescent="0.3">
      <c r="Q237">
        <v>25</v>
      </c>
    </row>
    <row r="238" spans="17:17" x14ac:dyDescent="0.3">
      <c r="Q238">
        <v>25</v>
      </c>
    </row>
    <row r="239" spans="17:17" x14ac:dyDescent="0.3">
      <c r="Q239">
        <v>25</v>
      </c>
    </row>
    <row r="240" spans="17:17" x14ac:dyDescent="0.3">
      <c r="Q240">
        <v>25</v>
      </c>
    </row>
    <row r="241" spans="17:17" x14ac:dyDescent="0.3">
      <c r="Q241">
        <v>25</v>
      </c>
    </row>
    <row r="242" spans="17:17" x14ac:dyDescent="0.3">
      <c r="Q242">
        <v>25</v>
      </c>
    </row>
    <row r="243" spans="17:17" x14ac:dyDescent="0.3">
      <c r="Q243">
        <v>25</v>
      </c>
    </row>
    <row r="244" spans="17:17" x14ac:dyDescent="0.3">
      <c r="Q244">
        <v>25</v>
      </c>
    </row>
    <row r="245" spans="17:17" x14ac:dyDescent="0.3">
      <c r="Q245">
        <v>25</v>
      </c>
    </row>
    <row r="246" spans="17:17" x14ac:dyDescent="0.3">
      <c r="Q246">
        <v>25</v>
      </c>
    </row>
    <row r="247" spans="17:17" x14ac:dyDescent="0.3">
      <c r="Q247">
        <v>25</v>
      </c>
    </row>
    <row r="248" spans="17:17" x14ac:dyDescent="0.3">
      <c r="Q248">
        <v>25</v>
      </c>
    </row>
    <row r="249" spans="17:17" x14ac:dyDescent="0.3">
      <c r="Q249">
        <v>25</v>
      </c>
    </row>
    <row r="250" spans="17:17" x14ac:dyDescent="0.3">
      <c r="Q250">
        <v>25</v>
      </c>
    </row>
    <row r="251" spans="17:17" x14ac:dyDescent="0.3">
      <c r="Q251">
        <v>25</v>
      </c>
    </row>
    <row r="252" spans="17:17" x14ac:dyDescent="0.3">
      <c r="Q252">
        <v>25</v>
      </c>
    </row>
    <row r="253" spans="17:17" x14ac:dyDescent="0.3">
      <c r="Q253">
        <v>25</v>
      </c>
    </row>
    <row r="254" spans="17:17" x14ac:dyDescent="0.3">
      <c r="Q254">
        <v>25</v>
      </c>
    </row>
    <row r="255" spans="17:17" x14ac:dyDescent="0.3">
      <c r="Q255">
        <v>25</v>
      </c>
    </row>
    <row r="256" spans="17:17" x14ac:dyDescent="0.3">
      <c r="Q256">
        <v>25</v>
      </c>
    </row>
    <row r="257" spans="17:17" x14ac:dyDescent="0.3">
      <c r="Q257">
        <v>25</v>
      </c>
    </row>
    <row r="258" spans="17:17" x14ac:dyDescent="0.3">
      <c r="Q258">
        <v>25</v>
      </c>
    </row>
    <row r="259" spans="17:17" x14ac:dyDescent="0.3">
      <c r="Q259">
        <v>25</v>
      </c>
    </row>
    <row r="260" spans="17:17" x14ac:dyDescent="0.3">
      <c r="Q260">
        <v>25</v>
      </c>
    </row>
    <row r="261" spans="17:17" x14ac:dyDescent="0.3">
      <c r="Q261">
        <v>25</v>
      </c>
    </row>
    <row r="262" spans="17:17" x14ac:dyDescent="0.3">
      <c r="Q262">
        <v>25</v>
      </c>
    </row>
    <row r="263" spans="17:17" x14ac:dyDescent="0.3">
      <c r="Q263">
        <v>25</v>
      </c>
    </row>
    <row r="264" spans="17:17" x14ac:dyDescent="0.3">
      <c r="Q264">
        <v>25</v>
      </c>
    </row>
    <row r="265" spans="17:17" x14ac:dyDescent="0.3">
      <c r="Q265">
        <v>25</v>
      </c>
    </row>
    <row r="266" spans="17:17" x14ac:dyDescent="0.3">
      <c r="Q266">
        <v>25</v>
      </c>
    </row>
    <row r="267" spans="17:17" x14ac:dyDescent="0.3">
      <c r="Q267">
        <v>25</v>
      </c>
    </row>
    <row r="268" spans="17:17" x14ac:dyDescent="0.3">
      <c r="Q268">
        <v>25</v>
      </c>
    </row>
    <row r="269" spans="17:17" x14ac:dyDescent="0.3">
      <c r="Q269">
        <v>25</v>
      </c>
    </row>
    <row r="270" spans="17:17" x14ac:dyDescent="0.3">
      <c r="Q270">
        <v>25</v>
      </c>
    </row>
    <row r="271" spans="17:17" x14ac:dyDescent="0.3">
      <c r="Q271">
        <v>25</v>
      </c>
    </row>
    <row r="272" spans="17:17" x14ac:dyDescent="0.3">
      <c r="Q272">
        <v>25</v>
      </c>
    </row>
    <row r="273" spans="17:17" x14ac:dyDescent="0.3">
      <c r="Q273">
        <v>25</v>
      </c>
    </row>
    <row r="274" spans="17:17" x14ac:dyDescent="0.3">
      <c r="Q274">
        <v>25</v>
      </c>
    </row>
    <row r="275" spans="17:17" x14ac:dyDescent="0.3">
      <c r="Q275">
        <v>25</v>
      </c>
    </row>
    <row r="276" spans="17:17" x14ac:dyDescent="0.3">
      <c r="Q276">
        <v>25</v>
      </c>
    </row>
    <row r="277" spans="17:17" x14ac:dyDescent="0.3">
      <c r="Q277">
        <v>25</v>
      </c>
    </row>
    <row r="278" spans="17:17" x14ac:dyDescent="0.3">
      <c r="Q278">
        <v>25</v>
      </c>
    </row>
    <row r="279" spans="17:17" x14ac:dyDescent="0.3">
      <c r="Q279">
        <v>25</v>
      </c>
    </row>
    <row r="280" spans="17:17" x14ac:dyDescent="0.3">
      <c r="Q280">
        <v>25</v>
      </c>
    </row>
    <row r="281" spans="17:17" x14ac:dyDescent="0.3">
      <c r="Q281">
        <v>25</v>
      </c>
    </row>
    <row r="282" spans="17:17" x14ac:dyDescent="0.3">
      <c r="Q282">
        <v>25</v>
      </c>
    </row>
    <row r="283" spans="17:17" x14ac:dyDescent="0.3">
      <c r="Q283">
        <v>25</v>
      </c>
    </row>
    <row r="284" spans="17:17" x14ac:dyDescent="0.3">
      <c r="Q284">
        <v>25</v>
      </c>
    </row>
    <row r="285" spans="17:17" x14ac:dyDescent="0.3">
      <c r="Q285">
        <v>25</v>
      </c>
    </row>
    <row r="286" spans="17:17" x14ac:dyDescent="0.3">
      <c r="Q286">
        <v>25</v>
      </c>
    </row>
    <row r="287" spans="17:17" x14ac:dyDescent="0.3">
      <c r="Q287">
        <v>25</v>
      </c>
    </row>
    <row r="288" spans="17:17" x14ac:dyDescent="0.3">
      <c r="Q288">
        <v>25</v>
      </c>
    </row>
    <row r="289" spans="17:17" x14ac:dyDescent="0.3">
      <c r="Q289">
        <v>25</v>
      </c>
    </row>
    <row r="290" spans="17:17" x14ac:dyDescent="0.3">
      <c r="Q290">
        <v>25</v>
      </c>
    </row>
    <row r="291" spans="17:17" x14ac:dyDescent="0.3">
      <c r="Q291">
        <v>25</v>
      </c>
    </row>
    <row r="292" spans="17:17" x14ac:dyDescent="0.3">
      <c r="Q292">
        <v>25</v>
      </c>
    </row>
    <row r="293" spans="17:17" x14ac:dyDescent="0.3">
      <c r="Q293">
        <v>25</v>
      </c>
    </row>
    <row r="294" spans="17:17" x14ac:dyDescent="0.3">
      <c r="Q294">
        <v>25</v>
      </c>
    </row>
    <row r="295" spans="17:17" x14ac:dyDescent="0.3">
      <c r="Q295">
        <v>25</v>
      </c>
    </row>
    <row r="296" spans="17:17" x14ac:dyDescent="0.3">
      <c r="Q296">
        <v>25</v>
      </c>
    </row>
    <row r="297" spans="17:17" x14ac:dyDescent="0.3">
      <c r="Q297">
        <v>25</v>
      </c>
    </row>
    <row r="298" spans="17:17" x14ac:dyDescent="0.3">
      <c r="Q298">
        <v>25</v>
      </c>
    </row>
    <row r="299" spans="17:17" x14ac:dyDescent="0.3">
      <c r="Q299">
        <v>25</v>
      </c>
    </row>
    <row r="300" spans="17:17" x14ac:dyDescent="0.3">
      <c r="Q300">
        <v>25</v>
      </c>
    </row>
    <row r="301" spans="17:17" x14ac:dyDescent="0.3">
      <c r="Q301">
        <v>25</v>
      </c>
    </row>
    <row r="302" spans="17:17" x14ac:dyDescent="0.3">
      <c r="Q302">
        <v>25</v>
      </c>
    </row>
    <row r="303" spans="17:17" x14ac:dyDescent="0.3">
      <c r="Q303">
        <v>25</v>
      </c>
    </row>
    <row r="304" spans="17:17" x14ac:dyDescent="0.3">
      <c r="Q304">
        <v>25</v>
      </c>
    </row>
    <row r="305" spans="17:17" x14ac:dyDescent="0.3">
      <c r="Q305">
        <v>25</v>
      </c>
    </row>
    <row r="306" spans="17:17" x14ac:dyDescent="0.3">
      <c r="Q306">
        <v>25</v>
      </c>
    </row>
    <row r="307" spans="17:17" x14ac:dyDescent="0.3">
      <c r="Q307">
        <v>25</v>
      </c>
    </row>
    <row r="308" spans="17:17" x14ac:dyDescent="0.3">
      <c r="Q308">
        <v>25</v>
      </c>
    </row>
    <row r="309" spans="17:17" x14ac:dyDescent="0.3">
      <c r="Q309">
        <v>25</v>
      </c>
    </row>
    <row r="310" spans="17:17" x14ac:dyDescent="0.3">
      <c r="Q310">
        <v>25</v>
      </c>
    </row>
    <row r="311" spans="17:17" x14ac:dyDescent="0.3">
      <c r="Q311">
        <v>25</v>
      </c>
    </row>
    <row r="312" spans="17:17" x14ac:dyDescent="0.3">
      <c r="Q312">
        <v>25</v>
      </c>
    </row>
    <row r="313" spans="17:17" x14ac:dyDescent="0.3">
      <c r="Q313">
        <v>25</v>
      </c>
    </row>
    <row r="314" spans="17:17" x14ac:dyDescent="0.3">
      <c r="Q314">
        <v>25</v>
      </c>
    </row>
    <row r="315" spans="17:17" x14ac:dyDescent="0.3">
      <c r="Q315">
        <v>25</v>
      </c>
    </row>
    <row r="316" spans="17:17" x14ac:dyDescent="0.3">
      <c r="Q316">
        <v>25</v>
      </c>
    </row>
    <row r="317" spans="17:17" x14ac:dyDescent="0.3">
      <c r="Q317">
        <v>25</v>
      </c>
    </row>
    <row r="318" spans="17:17" x14ac:dyDescent="0.3">
      <c r="Q318">
        <v>25</v>
      </c>
    </row>
    <row r="319" spans="17:17" x14ac:dyDescent="0.3">
      <c r="Q319">
        <v>25</v>
      </c>
    </row>
    <row r="320" spans="17:17" x14ac:dyDescent="0.3">
      <c r="Q320">
        <v>25</v>
      </c>
    </row>
    <row r="321" spans="17:17" x14ac:dyDescent="0.3">
      <c r="Q321">
        <v>25</v>
      </c>
    </row>
    <row r="322" spans="17:17" x14ac:dyDescent="0.3">
      <c r="Q322">
        <v>25</v>
      </c>
    </row>
    <row r="323" spans="17:17" x14ac:dyDescent="0.3">
      <c r="Q323">
        <v>25</v>
      </c>
    </row>
    <row r="324" spans="17:17" x14ac:dyDescent="0.3">
      <c r="Q324">
        <v>25</v>
      </c>
    </row>
    <row r="325" spans="17:17" x14ac:dyDescent="0.3">
      <c r="Q325">
        <v>25</v>
      </c>
    </row>
    <row r="326" spans="17:17" x14ac:dyDescent="0.3">
      <c r="Q326">
        <v>25</v>
      </c>
    </row>
    <row r="327" spans="17:17" x14ac:dyDescent="0.3">
      <c r="Q327">
        <v>25</v>
      </c>
    </row>
    <row r="328" spans="17:17" x14ac:dyDescent="0.3">
      <c r="Q328">
        <v>25</v>
      </c>
    </row>
    <row r="329" spans="17:17" x14ac:dyDescent="0.3">
      <c r="Q329">
        <v>25</v>
      </c>
    </row>
    <row r="330" spans="17:17" x14ac:dyDescent="0.3">
      <c r="Q330">
        <v>25</v>
      </c>
    </row>
    <row r="331" spans="17:17" x14ac:dyDescent="0.3">
      <c r="Q331">
        <v>25</v>
      </c>
    </row>
    <row r="332" spans="17:17" x14ac:dyDescent="0.3">
      <c r="Q332">
        <v>25</v>
      </c>
    </row>
    <row r="333" spans="17:17" x14ac:dyDescent="0.3">
      <c r="Q333">
        <v>25</v>
      </c>
    </row>
    <row r="334" spans="17:17" x14ac:dyDescent="0.3">
      <c r="Q334">
        <v>25</v>
      </c>
    </row>
    <row r="335" spans="17:17" x14ac:dyDescent="0.3">
      <c r="Q335">
        <v>25</v>
      </c>
    </row>
    <row r="336" spans="17:17" x14ac:dyDescent="0.3">
      <c r="Q336">
        <v>25</v>
      </c>
    </row>
    <row r="337" spans="17:17" x14ac:dyDescent="0.3">
      <c r="Q337">
        <v>25</v>
      </c>
    </row>
    <row r="338" spans="17:17" x14ac:dyDescent="0.3">
      <c r="Q338">
        <v>25</v>
      </c>
    </row>
    <row r="339" spans="17:17" x14ac:dyDescent="0.3">
      <c r="Q339">
        <v>25</v>
      </c>
    </row>
    <row r="340" spans="17:17" x14ac:dyDescent="0.3">
      <c r="Q340">
        <v>25</v>
      </c>
    </row>
    <row r="341" spans="17:17" x14ac:dyDescent="0.3">
      <c r="Q341">
        <v>25</v>
      </c>
    </row>
    <row r="342" spans="17:17" x14ac:dyDescent="0.3">
      <c r="Q342">
        <v>25</v>
      </c>
    </row>
    <row r="343" spans="17:17" x14ac:dyDescent="0.3">
      <c r="Q343">
        <v>25</v>
      </c>
    </row>
    <row r="344" spans="17:17" x14ac:dyDescent="0.3">
      <c r="Q344">
        <v>25</v>
      </c>
    </row>
    <row r="345" spans="17:17" x14ac:dyDescent="0.3">
      <c r="Q345">
        <v>25</v>
      </c>
    </row>
    <row r="346" spans="17:17" x14ac:dyDescent="0.3">
      <c r="Q346">
        <v>25</v>
      </c>
    </row>
    <row r="347" spans="17:17" x14ac:dyDescent="0.3">
      <c r="Q347">
        <v>25</v>
      </c>
    </row>
    <row r="348" spans="17:17" x14ac:dyDescent="0.3">
      <c r="Q348">
        <v>25</v>
      </c>
    </row>
    <row r="349" spans="17:17" x14ac:dyDescent="0.3">
      <c r="Q349">
        <v>25</v>
      </c>
    </row>
    <row r="350" spans="17:17" x14ac:dyDescent="0.3">
      <c r="Q350">
        <v>25</v>
      </c>
    </row>
    <row r="351" spans="17:17" x14ac:dyDescent="0.3">
      <c r="Q351">
        <v>25</v>
      </c>
    </row>
    <row r="352" spans="17:17" x14ac:dyDescent="0.3">
      <c r="Q352">
        <v>25</v>
      </c>
    </row>
    <row r="353" spans="17:17" x14ac:dyDescent="0.3">
      <c r="Q353">
        <v>25</v>
      </c>
    </row>
    <row r="354" spans="17:17" x14ac:dyDescent="0.3">
      <c r="Q354">
        <v>25</v>
      </c>
    </row>
    <row r="355" spans="17:17" x14ac:dyDescent="0.3">
      <c r="Q355">
        <v>25</v>
      </c>
    </row>
    <row r="356" spans="17:17" x14ac:dyDescent="0.3">
      <c r="Q356">
        <v>25</v>
      </c>
    </row>
    <row r="357" spans="17:17" x14ac:dyDescent="0.3">
      <c r="Q357">
        <v>25</v>
      </c>
    </row>
    <row r="358" spans="17:17" x14ac:dyDescent="0.3">
      <c r="Q358">
        <v>25</v>
      </c>
    </row>
    <row r="359" spans="17:17" x14ac:dyDescent="0.3">
      <c r="Q359">
        <v>25</v>
      </c>
    </row>
    <row r="360" spans="17:17" x14ac:dyDescent="0.3">
      <c r="Q360">
        <v>25</v>
      </c>
    </row>
    <row r="361" spans="17:17" x14ac:dyDescent="0.3">
      <c r="Q361">
        <v>25</v>
      </c>
    </row>
    <row r="362" spans="17:17" x14ac:dyDescent="0.3">
      <c r="Q362">
        <v>25</v>
      </c>
    </row>
    <row r="363" spans="17:17" x14ac:dyDescent="0.3">
      <c r="Q363">
        <v>25</v>
      </c>
    </row>
    <row r="364" spans="17:17" x14ac:dyDescent="0.3">
      <c r="Q364">
        <v>25</v>
      </c>
    </row>
    <row r="365" spans="17:17" x14ac:dyDescent="0.3">
      <c r="Q365">
        <v>25</v>
      </c>
    </row>
    <row r="366" spans="17:17" x14ac:dyDescent="0.3">
      <c r="Q366">
        <v>25</v>
      </c>
    </row>
    <row r="367" spans="17:17" x14ac:dyDescent="0.3">
      <c r="Q367">
        <v>25</v>
      </c>
    </row>
    <row r="368" spans="17:17" x14ac:dyDescent="0.3">
      <c r="Q368">
        <v>25</v>
      </c>
    </row>
    <row r="369" spans="17:17" x14ac:dyDescent="0.3">
      <c r="Q369">
        <v>25</v>
      </c>
    </row>
    <row r="370" spans="17:17" x14ac:dyDescent="0.3">
      <c r="Q370">
        <v>25</v>
      </c>
    </row>
    <row r="371" spans="17:17" x14ac:dyDescent="0.3">
      <c r="Q371">
        <v>25</v>
      </c>
    </row>
    <row r="372" spans="17:17" x14ac:dyDescent="0.3">
      <c r="Q372">
        <v>25</v>
      </c>
    </row>
    <row r="373" spans="17:17" x14ac:dyDescent="0.3">
      <c r="Q373">
        <v>25</v>
      </c>
    </row>
    <row r="374" spans="17:17" x14ac:dyDescent="0.3">
      <c r="Q374">
        <v>25</v>
      </c>
    </row>
    <row r="375" spans="17:17" x14ac:dyDescent="0.3">
      <c r="Q375">
        <v>25</v>
      </c>
    </row>
    <row r="376" spans="17:17" x14ac:dyDescent="0.3">
      <c r="Q376">
        <v>25</v>
      </c>
    </row>
    <row r="377" spans="17:17" x14ac:dyDescent="0.3">
      <c r="Q377">
        <v>25</v>
      </c>
    </row>
    <row r="378" spans="17:17" x14ac:dyDescent="0.3">
      <c r="Q378">
        <v>25</v>
      </c>
    </row>
    <row r="379" spans="17:17" x14ac:dyDescent="0.3">
      <c r="Q379">
        <v>25</v>
      </c>
    </row>
    <row r="380" spans="17:17" x14ac:dyDescent="0.3">
      <c r="Q380">
        <v>25</v>
      </c>
    </row>
    <row r="381" spans="17:17" x14ac:dyDescent="0.3">
      <c r="Q381">
        <v>25</v>
      </c>
    </row>
    <row r="382" spans="17:17" x14ac:dyDescent="0.3">
      <c r="Q382">
        <v>25</v>
      </c>
    </row>
    <row r="383" spans="17:17" x14ac:dyDescent="0.3">
      <c r="Q383">
        <v>25</v>
      </c>
    </row>
    <row r="384" spans="17:17" x14ac:dyDescent="0.3">
      <c r="Q384">
        <v>25</v>
      </c>
    </row>
    <row r="385" spans="17:17" x14ac:dyDescent="0.3">
      <c r="Q385">
        <v>25</v>
      </c>
    </row>
    <row r="386" spans="17:17" x14ac:dyDescent="0.3">
      <c r="Q386">
        <v>25</v>
      </c>
    </row>
    <row r="387" spans="17:17" x14ac:dyDescent="0.3">
      <c r="Q387">
        <v>25</v>
      </c>
    </row>
    <row r="388" spans="17:17" x14ac:dyDescent="0.3">
      <c r="Q388">
        <v>25</v>
      </c>
    </row>
    <row r="389" spans="17:17" x14ac:dyDescent="0.3">
      <c r="Q389">
        <v>25</v>
      </c>
    </row>
    <row r="390" spans="17:17" x14ac:dyDescent="0.3">
      <c r="Q390">
        <v>25</v>
      </c>
    </row>
    <row r="391" spans="17:17" x14ac:dyDescent="0.3">
      <c r="Q391">
        <v>25</v>
      </c>
    </row>
    <row r="392" spans="17:17" x14ac:dyDescent="0.3">
      <c r="Q392">
        <v>25</v>
      </c>
    </row>
    <row r="393" spans="17:17" x14ac:dyDescent="0.3">
      <c r="Q393">
        <v>25</v>
      </c>
    </row>
    <row r="394" spans="17:17" x14ac:dyDescent="0.3">
      <c r="Q394">
        <v>25</v>
      </c>
    </row>
    <row r="395" spans="17:17" x14ac:dyDescent="0.3">
      <c r="Q395">
        <v>25</v>
      </c>
    </row>
    <row r="396" spans="17:17" x14ac:dyDescent="0.3">
      <c r="Q396">
        <v>25</v>
      </c>
    </row>
    <row r="397" spans="17:17" x14ac:dyDescent="0.3">
      <c r="Q397">
        <v>25</v>
      </c>
    </row>
    <row r="398" spans="17:17" x14ac:dyDescent="0.3">
      <c r="Q398">
        <v>25</v>
      </c>
    </row>
    <row r="399" spans="17:17" x14ac:dyDescent="0.3">
      <c r="Q399">
        <v>25</v>
      </c>
    </row>
    <row r="400" spans="17:17" x14ac:dyDescent="0.3">
      <c r="Q400">
        <v>25</v>
      </c>
    </row>
    <row r="401" spans="17:17" x14ac:dyDescent="0.3">
      <c r="Q401">
        <v>25</v>
      </c>
    </row>
    <row r="402" spans="17:17" x14ac:dyDescent="0.3">
      <c r="Q402">
        <v>25</v>
      </c>
    </row>
    <row r="403" spans="17:17" x14ac:dyDescent="0.3">
      <c r="Q403">
        <v>25</v>
      </c>
    </row>
    <row r="404" spans="17:17" x14ac:dyDescent="0.3">
      <c r="Q404">
        <v>25</v>
      </c>
    </row>
    <row r="405" spans="17:17" x14ac:dyDescent="0.3">
      <c r="Q405">
        <v>25</v>
      </c>
    </row>
    <row r="406" spans="17:17" x14ac:dyDescent="0.3">
      <c r="Q406">
        <v>25</v>
      </c>
    </row>
    <row r="407" spans="17:17" x14ac:dyDescent="0.3">
      <c r="Q407">
        <v>25</v>
      </c>
    </row>
    <row r="408" spans="17:17" x14ac:dyDescent="0.3">
      <c r="Q408">
        <v>25</v>
      </c>
    </row>
    <row r="409" spans="17:17" x14ac:dyDescent="0.3">
      <c r="Q409">
        <v>25</v>
      </c>
    </row>
    <row r="410" spans="17:17" x14ac:dyDescent="0.3">
      <c r="Q410">
        <v>25</v>
      </c>
    </row>
    <row r="411" spans="17:17" x14ac:dyDescent="0.3">
      <c r="Q411">
        <v>25</v>
      </c>
    </row>
    <row r="412" spans="17:17" x14ac:dyDescent="0.3">
      <c r="Q412">
        <v>25</v>
      </c>
    </row>
    <row r="413" spans="17:17" x14ac:dyDescent="0.3">
      <c r="Q413">
        <v>25</v>
      </c>
    </row>
    <row r="414" spans="17:17" x14ac:dyDescent="0.3">
      <c r="Q414">
        <v>25</v>
      </c>
    </row>
    <row r="415" spans="17:17" x14ac:dyDescent="0.3">
      <c r="Q415">
        <v>25</v>
      </c>
    </row>
    <row r="416" spans="17:17" x14ac:dyDescent="0.3">
      <c r="Q416">
        <v>25</v>
      </c>
    </row>
    <row r="417" spans="17:17" x14ac:dyDescent="0.3">
      <c r="Q417">
        <v>25</v>
      </c>
    </row>
    <row r="418" spans="17:17" x14ac:dyDescent="0.3">
      <c r="Q418">
        <v>25</v>
      </c>
    </row>
    <row r="419" spans="17:17" x14ac:dyDescent="0.3">
      <c r="Q419">
        <v>25</v>
      </c>
    </row>
    <row r="420" spans="17:17" x14ac:dyDescent="0.3">
      <c r="Q420">
        <v>25</v>
      </c>
    </row>
    <row r="421" spans="17:17" x14ac:dyDescent="0.3">
      <c r="Q421">
        <v>25</v>
      </c>
    </row>
    <row r="422" spans="17:17" x14ac:dyDescent="0.3">
      <c r="Q422">
        <v>25</v>
      </c>
    </row>
    <row r="423" spans="17:17" x14ac:dyDescent="0.3">
      <c r="Q423">
        <v>25</v>
      </c>
    </row>
    <row r="424" spans="17:17" x14ac:dyDescent="0.3">
      <c r="Q424">
        <v>25</v>
      </c>
    </row>
    <row r="425" spans="17:17" x14ac:dyDescent="0.3">
      <c r="Q425">
        <v>25</v>
      </c>
    </row>
    <row r="426" spans="17:17" x14ac:dyDescent="0.3">
      <c r="Q426">
        <v>25</v>
      </c>
    </row>
    <row r="427" spans="17:17" x14ac:dyDescent="0.3">
      <c r="Q427">
        <v>25</v>
      </c>
    </row>
    <row r="428" spans="17:17" x14ac:dyDescent="0.3">
      <c r="Q428">
        <v>25</v>
      </c>
    </row>
    <row r="429" spans="17:17" x14ac:dyDescent="0.3">
      <c r="Q429">
        <v>25</v>
      </c>
    </row>
    <row r="430" spans="17:17" x14ac:dyDescent="0.3">
      <c r="Q430">
        <v>25</v>
      </c>
    </row>
    <row r="431" spans="17:17" x14ac:dyDescent="0.3">
      <c r="Q431">
        <v>25</v>
      </c>
    </row>
    <row r="432" spans="17:17" x14ac:dyDescent="0.3">
      <c r="Q432">
        <v>25</v>
      </c>
    </row>
    <row r="433" spans="17:17" x14ac:dyDescent="0.3">
      <c r="Q433">
        <v>25</v>
      </c>
    </row>
    <row r="434" spans="17:17" x14ac:dyDescent="0.3">
      <c r="Q434">
        <v>25</v>
      </c>
    </row>
    <row r="435" spans="17:17" x14ac:dyDescent="0.3">
      <c r="Q435">
        <v>25</v>
      </c>
    </row>
    <row r="436" spans="17:17" x14ac:dyDescent="0.3">
      <c r="Q436">
        <v>25</v>
      </c>
    </row>
    <row r="437" spans="17:17" x14ac:dyDescent="0.3">
      <c r="Q437">
        <v>25</v>
      </c>
    </row>
    <row r="438" spans="17:17" x14ac:dyDescent="0.3">
      <c r="Q438">
        <v>25</v>
      </c>
    </row>
    <row r="439" spans="17:17" x14ac:dyDescent="0.3">
      <c r="Q439">
        <v>25</v>
      </c>
    </row>
    <row r="440" spans="17:17" x14ac:dyDescent="0.3">
      <c r="Q440">
        <v>25</v>
      </c>
    </row>
    <row r="441" spans="17:17" x14ac:dyDescent="0.3">
      <c r="Q441">
        <v>25</v>
      </c>
    </row>
    <row r="442" spans="17:17" x14ac:dyDescent="0.3">
      <c r="Q442">
        <v>25</v>
      </c>
    </row>
    <row r="443" spans="17:17" x14ac:dyDescent="0.3">
      <c r="Q443">
        <v>25</v>
      </c>
    </row>
    <row r="444" spans="17:17" x14ac:dyDescent="0.3">
      <c r="Q444">
        <v>25</v>
      </c>
    </row>
    <row r="445" spans="17:17" x14ac:dyDescent="0.3">
      <c r="Q445">
        <v>25</v>
      </c>
    </row>
    <row r="446" spans="17:17" x14ac:dyDescent="0.3">
      <c r="Q446">
        <v>25</v>
      </c>
    </row>
    <row r="447" spans="17:17" x14ac:dyDescent="0.3">
      <c r="Q447">
        <v>25</v>
      </c>
    </row>
    <row r="448" spans="17:17" x14ac:dyDescent="0.3">
      <c r="Q448">
        <v>25</v>
      </c>
    </row>
    <row r="449" spans="17:17" x14ac:dyDescent="0.3">
      <c r="Q449">
        <v>25</v>
      </c>
    </row>
    <row r="450" spans="17:17" x14ac:dyDescent="0.3">
      <c r="Q450">
        <v>25</v>
      </c>
    </row>
    <row r="451" spans="17:17" x14ac:dyDescent="0.3">
      <c r="Q451">
        <v>25</v>
      </c>
    </row>
    <row r="452" spans="17:17" x14ac:dyDescent="0.3">
      <c r="Q452">
        <v>25</v>
      </c>
    </row>
    <row r="453" spans="17:17" x14ac:dyDescent="0.3">
      <c r="Q453">
        <v>25</v>
      </c>
    </row>
    <row r="454" spans="17:17" x14ac:dyDescent="0.3">
      <c r="Q454">
        <v>25</v>
      </c>
    </row>
    <row r="455" spans="17:17" x14ac:dyDescent="0.3">
      <c r="Q455">
        <v>25</v>
      </c>
    </row>
    <row r="456" spans="17:17" x14ac:dyDescent="0.3">
      <c r="Q456">
        <v>25</v>
      </c>
    </row>
    <row r="457" spans="17:17" x14ac:dyDescent="0.3">
      <c r="Q457">
        <v>25</v>
      </c>
    </row>
    <row r="458" spans="17:17" x14ac:dyDescent="0.3">
      <c r="Q458">
        <v>25</v>
      </c>
    </row>
    <row r="459" spans="17:17" x14ac:dyDescent="0.3">
      <c r="Q459">
        <v>25</v>
      </c>
    </row>
    <row r="460" spans="17:17" x14ac:dyDescent="0.3">
      <c r="Q460">
        <v>25</v>
      </c>
    </row>
    <row r="461" spans="17:17" x14ac:dyDescent="0.3">
      <c r="Q461">
        <v>25</v>
      </c>
    </row>
    <row r="462" spans="17:17" x14ac:dyDescent="0.3">
      <c r="Q462">
        <v>25</v>
      </c>
    </row>
    <row r="463" spans="17:17" x14ac:dyDescent="0.3">
      <c r="Q463">
        <v>25</v>
      </c>
    </row>
    <row r="464" spans="17:17" x14ac:dyDescent="0.3">
      <c r="Q464">
        <v>25</v>
      </c>
    </row>
    <row r="465" spans="17:17" x14ac:dyDescent="0.3">
      <c r="Q465">
        <v>25</v>
      </c>
    </row>
    <row r="466" spans="17:17" x14ac:dyDescent="0.3">
      <c r="Q466">
        <v>25</v>
      </c>
    </row>
    <row r="467" spans="17:17" x14ac:dyDescent="0.3">
      <c r="Q467">
        <v>25</v>
      </c>
    </row>
    <row r="468" spans="17:17" x14ac:dyDescent="0.3">
      <c r="Q468">
        <v>25</v>
      </c>
    </row>
    <row r="469" spans="17:17" x14ac:dyDescent="0.3">
      <c r="Q469">
        <v>25</v>
      </c>
    </row>
    <row r="470" spans="17:17" x14ac:dyDescent="0.3">
      <c r="Q470">
        <v>25</v>
      </c>
    </row>
    <row r="471" spans="17:17" x14ac:dyDescent="0.3">
      <c r="Q471">
        <v>25</v>
      </c>
    </row>
    <row r="472" spans="17:17" x14ac:dyDescent="0.3">
      <c r="Q472">
        <v>25</v>
      </c>
    </row>
    <row r="473" spans="17:17" x14ac:dyDescent="0.3">
      <c r="Q473">
        <v>25</v>
      </c>
    </row>
    <row r="474" spans="17:17" x14ac:dyDescent="0.3">
      <c r="Q474">
        <v>25</v>
      </c>
    </row>
    <row r="475" spans="17:17" x14ac:dyDescent="0.3">
      <c r="Q475">
        <v>25</v>
      </c>
    </row>
    <row r="476" spans="17:17" x14ac:dyDescent="0.3">
      <c r="Q476">
        <v>25</v>
      </c>
    </row>
    <row r="477" spans="17:17" x14ac:dyDescent="0.3">
      <c r="Q477">
        <v>25</v>
      </c>
    </row>
    <row r="478" spans="17:17" x14ac:dyDescent="0.3">
      <c r="Q478">
        <v>25</v>
      </c>
    </row>
    <row r="479" spans="17:17" x14ac:dyDescent="0.3">
      <c r="Q479">
        <v>25</v>
      </c>
    </row>
    <row r="480" spans="17:17" x14ac:dyDescent="0.3">
      <c r="Q480">
        <v>25</v>
      </c>
    </row>
    <row r="481" spans="17:17" x14ac:dyDescent="0.3">
      <c r="Q481">
        <v>25</v>
      </c>
    </row>
    <row r="482" spans="17:17" x14ac:dyDescent="0.3">
      <c r="Q482">
        <v>25</v>
      </c>
    </row>
    <row r="483" spans="17:17" x14ac:dyDescent="0.3">
      <c r="Q483">
        <v>25</v>
      </c>
    </row>
    <row r="484" spans="17:17" x14ac:dyDescent="0.3">
      <c r="Q484">
        <v>25</v>
      </c>
    </row>
    <row r="485" spans="17:17" x14ac:dyDescent="0.3">
      <c r="Q485">
        <v>25</v>
      </c>
    </row>
    <row r="486" spans="17:17" x14ac:dyDescent="0.3">
      <c r="Q486">
        <v>25</v>
      </c>
    </row>
    <row r="487" spans="17:17" x14ac:dyDescent="0.3">
      <c r="Q487">
        <v>25</v>
      </c>
    </row>
    <row r="488" spans="17:17" x14ac:dyDescent="0.3">
      <c r="Q488">
        <v>25</v>
      </c>
    </row>
    <row r="489" spans="17:17" x14ac:dyDescent="0.3">
      <c r="Q489">
        <v>25</v>
      </c>
    </row>
    <row r="490" spans="17:17" x14ac:dyDescent="0.3">
      <c r="Q490">
        <v>25</v>
      </c>
    </row>
    <row r="491" spans="17:17" x14ac:dyDescent="0.3">
      <c r="Q491">
        <v>25</v>
      </c>
    </row>
    <row r="492" spans="17:17" x14ac:dyDescent="0.3">
      <c r="Q492">
        <v>25</v>
      </c>
    </row>
    <row r="493" spans="17:17" x14ac:dyDescent="0.3">
      <c r="Q493">
        <v>25</v>
      </c>
    </row>
    <row r="494" spans="17:17" x14ac:dyDescent="0.3">
      <c r="Q494">
        <v>25</v>
      </c>
    </row>
    <row r="495" spans="17:17" x14ac:dyDescent="0.3">
      <c r="Q495">
        <v>25</v>
      </c>
    </row>
    <row r="496" spans="17:17" x14ac:dyDescent="0.3">
      <c r="Q496">
        <v>25</v>
      </c>
    </row>
    <row r="497" spans="17:17" x14ac:dyDescent="0.3">
      <c r="Q497">
        <v>25</v>
      </c>
    </row>
    <row r="498" spans="17:17" x14ac:dyDescent="0.3">
      <c r="Q498">
        <v>25</v>
      </c>
    </row>
    <row r="499" spans="17:17" x14ac:dyDescent="0.3">
      <c r="Q499">
        <v>25</v>
      </c>
    </row>
    <row r="500" spans="17:17" x14ac:dyDescent="0.3">
      <c r="Q500">
        <v>25</v>
      </c>
    </row>
    <row r="501" spans="17:17" x14ac:dyDescent="0.3">
      <c r="Q501">
        <v>25</v>
      </c>
    </row>
    <row r="502" spans="17:17" x14ac:dyDescent="0.3">
      <c r="Q502">
        <v>25</v>
      </c>
    </row>
    <row r="503" spans="17:17" x14ac:dyDescent="0.3">
      <c r="Q503">
        <v>25</v>
      </c>
    </row>
    <row r="504" spans="17:17" x14ac:dyDescent="0.3">
      <c r="Q504">
        <v>25</v>
      </c>
    </row>
    <row r="505" spans="17:17" x14ac:dyDescent="0.3">
      <c r="Q505">
        <v>25</v>
      </c>
    </row>
    <row r="506" spans="17:17" x14ac:dyDescent="0.3">
      <c r="Q506">
        <v>25</v>
      </c>
    </row>
    <row r="507" spans="17:17" x14ac:dyDescent="0.3">
      <c r="Q507">
        <v>25</v>
      </c>
    </row>
    <row r="508" spans="17:17" x14ac:dyDescent="0.3">
      <c r="Q508">
        <v>25</v>
      </c>
    </row>
    <row r="509" spans="17:17" x14ac:dyDescent="0.3">
      <c r="Q509">
        <v>25</v>
      </c>
    </row>
    <row r="510" spans="17:17" x14ac:dyDescent="0.3">
      <c r="Q510">
        <v>25</v>
      </c>
    </row>
    <row r="511" spans="17:17" x14ac:dyDescent="0.3">
      <c r="Q511">
        <v>25</v>
      </c>
    </row>
    <row r="512" spans="17:17" x14ac:dyDescent="0.3">
      <c r="Q512">
        <v>25</v>
      </c>
    </row>
    <row r="513" spans="17:17" x14ac:dyDescent="0.3">
      <c r="Q513">
        <v>25</v>
      </c>
    </row>
    <row r="514" spans="17:17" x14ac:dyDescent="0.3">
      <c r="Q514">
        <v>25</v>
      </c>
    </row>
    <row r="515" spans="17:17" x14ac:dyDescent="0.3">
      <c r="Q515">
        <v>25</v>
      </c>
    </row>
    <row r="516" spans="17:17" x14ac:dyDescent="0.3">
      <c r="Q516">
        <v>25</v>
      </c>
    </row>
    <row r="517" spans="17:17" x14ac:dyDescent="0.3">
      <c r="Q517">
        <v>25</v>
      </c>
    </row>
    <row r="518" spans="17:17" x14ac:dyDescent="0.3">
      <c r="Q518">
        <v>25</v>
      </c>
    </row>
    <row r="519" spans="17:17" x14ac:dyDescent="0.3">
      <c r="Q519">
        <v>25</v>
      </c>
    </row>
    <row r="520" spans="17:17" x14ac:dyDescent="0.3">
      <c r="Q520">
        <v>25</v>
      </c>
    </row>
    <row r="521" spans="17:17" x14ac:dyDescent="0.3">
      <c r="Q521">
        <v>25</v>
      </c>
    </row>
    <row r="522" spans="17:17" x14ac:dyDescent="0.3">
      <c r="Q522">
        <v>25</v>
      </c>
    </row>
    <row r="523" spans="17:17" x14ac:dyDescent="0.3">
      <c r="Q523">
        <v>25</v>
      </c>
    </row>
    <row r="524" spans="17:17" x14ac:dyDescent="0.3">
      <c r="Q524">
        <v>25</v>
      </c>
    </row>
    <row r="525" spans="17:17" x14ac:dyDescent="0.3">
      <c r="Q525">
        <v>25</v>
      </c>
    </row>
    <row r="526" spans="17:17" x14ac:dyDescent="0.3">
      <c r="Q526">
        <v>25</v>
      </c>
    </row>
    <row r="527" spans="17:17" x14ac:dyDescent="0.3">
      <c r="Q527">
        <v>25</v>
      </c>
    </row>
    <row r="528" spans="17:17" x14ac:dyDescent="0.3">
      <c r="Q528">
        <v>25</v>
      </c>
    </row>
    <row r="529" spans="17:17" x14ac:dyDescent="0.3">
      <c r="Q529">
        <v>25</v>
      </c>
    </row>
    <row r="530" spans="17:17" x14ac:dyDescent="0.3">
      <c r="Q530">
        <v>25</v>
      </c>
    </row>
    <row r="531" spans="17:17" x14ac:dyDescent="0.3">
      <c r="Q531">
        <v>25</v>
      </c>
    </row>
    <row r="532" spans="17:17" x14ac:dyDescent="0.3">
      <c r="Q532">
        <v>25</v>
      </c>
    </row>
    <row r="533" spans="17:17" x14ac:dyDescent="0.3">
      <c r="Q533">
        <v>25</v>
      </c>
    </row>
    <row r="534" spans="17:17" x14ac:dyDescent="0.3">
      <c r="Q534">
        <v>25</v>
      </c>
    </row>
    <row r="535" spans="17:17" x14ac:dyDescent="0.3">
      <c r="Q535">
        <v>25</v>
      </c>
    </row>
    <row r="536" spans="17:17" x14ac:dyDescent="0.3">
      <c r="Q536">
        <v>25</v>
      </c>
    </row>
    <row r="537" spans="17:17" x14ac:dyDescent="0.3">
      <c r="Q537">
        <v>25</v>
      </c>
    </row>
    <row r="538" spans="17:17" x14ac:dyDescent="0.3">
      <c r="Q538">
        <v>25</v>
      </c>
    </row>
    <row r="539" spans="17:17" x14ac:dyDescent="0.3">
      <c r="Q539">
        <v>25</v>
      </c>
    </row>
    <row r="540" spans="17:17" x14ac:dyDescent="0.3">
      <c r="Q540">
        <v>25</v>
      </c>
    </row>
    <row r="541" spans="17:17" x14ac:dyDescent="0.3">
      <c r="Q541">
        <v>25</v>
      </c>
    </row>
    <row r="542" spans="17:17" x14ac:dyDescent="0.3">
      <c r="Q542">
        <v>25</v>
      </c>
    </row>
    <row r="543" spans="17:17" x14ac:dyDescent="0.3">
      <c r="Q543">
        <v>25</v>
      </c>
    </row>
    <row r="544" spans="17:17" x14ac:dyDescent="0.3">
      <c r="Q544">
        <v>25</v>
      </c>
    </row>
    <row r="545" spans="17:17" x14ac:dyDescent="0.3">
      <c r="Q545">
        <v>25</v>
      </c>
    </row>
    <row r="546" spans="17:17" x14ac:dyDescent="0.3">
      <c r="Q546">
        <v>25</v>
      </c>
    </row>
    <row r="547" spans="17:17" x14ac:dyDescent="0.3">
      <c r="Q547">
        <v>25</v>
      </c>
    </row>
    <row r="548" spans="17:17" x14ac:dyDescent="0.3">
      <c r="Q548">
        <v>25</v>
      </c>
    </row>
    <row r="549" spans="17:17" x14ac:dyDescent="0.3">
      <c r="Q549">
        <v>25</v>
      </c>
    </row>
    <row r="550" spans="17:17" x14ac:dyDescent="0.3">
      <c r="Q550">
        <v>25</v>
      </c>
    </row>
    <row r="551" spans="17:17" x14ac:dyDescent="0.3">
      <c r="Q551">
        <v>25</v>
      </c>
    </row>
    <row r="552" spans="17:17" x14ac:dyDescent="0.3">
      <c r="Q552">
        <v>25</v>
      </c>
    </row>
    <row r="553" spans="17:17" x14ac:dyDescent="0.3">
      <c r="Q553">
        <v>25</v>
      </c>
    </row>
    <row r="554" spans="17:17" x14ac:dyDescent="0.3">
      <c r="Q554">
        <v>25</v>
      </c>
    </row>
    <row r="555" spans="17:17" x14ac:dyDescent="0.3">
      <c r="Q555">
        <v>25</v>
      </c>
    </row>
    <row r="556" spans="17:17" x14ac:dyDescent="0.3">
      <c r="Q556">
        <v>25</v>
      </c>
    </row>
    <row r="557" spans="17:17" x14ac:dyDescent="0.3">
      <c r="Q557">
        <v>25</v>
      </c>
    </row>
    <row r="558" spans="17:17" x14ac:dyDescent="0.3">
      <c r="Q558">
        <v>25</v>
      </c>
    </row>
    <row r="559" spans="17:17" x14ac:dyDescent="0.3">
      <c r="Q559">
        <v>25</v>
      </c>
    </row>
    <row r="560" spans="17:17" x14ac:dyDescent="0.3">
      <c r="Q560">
        <v>25</v>
      </c>
    </row>
    <row r="561" spans="17:17" x14ac:dyDescent="0.3">
      <c r="Q561">
        <v>25</v>
      </c>
    </row>
    <row r="562" spans="17:17" x14ac:dyDescent="0.3">
      <c r="Q562">
        <v>25</v>
      </c>
    </row>
    <row r="563" spans="17:17" x14ac:dyDescent="0.3">
      <c r="Q563">
        <v>25</v>
      </c>
    </row>
    <row r="564" spans="17:17" x14ac:dyDescent="0.3">
      <c r="Q564">
        <v>25</v>
      </c>
    </row>
    <row r="565" spans="17:17" x14ac:dyDescent="0.3">
      <c r="Q565">
        <v>25</v>
      </c>
    </row>
    <row r="566" spans="17:17" x14ac:dyDescent="0.3">
      <c r="Q566">
        <v>25</v>
      </c>
    </row>
    <row r="567" spans="17:17" x14ac:dyDescent="0.3">
      <c r="Q567">
        <v>25</v>
      </c>
    </row>
    <row r="568" spans="17:17" x14ac:dyDescent="0.3">
      <c r="Q568">
        <v>25</v>
      </c>
    </row>
    <row r="569" spans="17:17" x14ac:dyDescent="0.3">
      <c r="Q569">
        <v>25</v>
      </c>
    </row>
    <row r="570" spans="17:17" x14ac:dyDescent="0.3">
      <c r="Q570">
        <v>25</v>
      </c>
    </row>
    <row r="571" spans="17:17" x14ac:dyDescent="0.3">
      <c r="Q571">
        <v>25</v>
      </c>
    </row>
    <row r="572" spans="17:17" x14ac:dyDescent="0.3">
      <c r="Q572">
        <v>25</v>
      </c>
    </row>
    <row r="573" spans="17:17" x14ac:dyDescent="0.3">
      <c r="Q573">
        <v>25</v>
      </c>
    </row>
    <row r="574" spans="17:17" x14ac:dyDescent="0.3">
      <c r="Q574">
        <v>25</v>
      </c>
    </row>
    <row r="575" spans="17:17" x14ac:dyDescent="0.3">
      <c r="Q575">
        <v>25</v>
      </c>
    </row>
    <row r="576" spans="17:17" x14ac:dyDescent="0.3">
      <c r="Q576">
        <v>25</v>
      </c>
    </row>
    <row r="577" spans="17:17" x14ac:dyDescent="0.3">
      <c r="Q577">
        <v>25</v>
      </c>
    </row>
    <row r="578" spans="17:17" x14ac:dyDescent="0.3">
      <c r="Q578">
        <v>25</v>
      </c>
    </row>
    <row r="579" spans="17:17" x14ac:dyDescent="0.3">
      <c r="Q579">
        <v>25</v>
      </c>
    </row>
    <row r="580" spans="17:17" x14ac:dyDescent="0.3">
      <c r="Q580">
        <v>25</v>
      </c>
    </row>
    <row r="581" spans="17:17" x14ac:dyDescent="0.3">
      <c r="Q581">
        <v>25</v>
      </c>
    </row>
    <row r="582" spans="17:17" x14ac:dyDescent="0.3">
      <c r="Q582">
        <v>25</v>
      </c>
    </row>
    <row r="583" spans="17:17" x14ac:dyDescent="0.3">
      <c r="Q583">
        <v>25</v>
      </c>
    </row>
    <row r="584" spans="17:17" x14ac:dyDescent="0.3">
      <c r="Q584">
        <v>25</v>
      </c>
    </row>
    <row r="585" spans="17:17" x14ac:dyDescent="0.3">
      <c r="Q585">
        <v>25</v>
      </c>
    </row>
    <row r="586" spans="17:17" x14ac:dyDescent="0.3">
      <c r="Q586">
        <v>25</v>
      </c>
    </row>
    <row r="587" spans="17:17" x14ac:dyDescent="0.3">
      <c r="Q587">
        <v>25</v>
      </c>
    </row>
    <row r="588" spans="17:17" x14ac:dyDescent="0.3">
      <c r="Q588">
        <v>25</v>
      </c>
    </row>
    <row r="589" spans="17:17" x14ac:dyDescent="0.3">
      <c r="Q589">
        <v>25</v>
      </c>
    </row>
    <row r="590" spans="17:17" x14ac:dyDescent="0.3">
      <c r="Q590">
        <v>25</v>
      </c>
    </row>
    <row r="591" spans="17:17" x14ac:dyDescent="0.3">
      <c r="Q591">
        <v>25</v>
      </c>
    </row>
    <row r="592" spans="17:17" x14ac:dyDescent="0.3">
      <c r="Q592">
        <v>25</v>
      </c>
    </row>
    <row r="593" spans="17:17" x14ac:dyDescent="0.3">
      <c r="Q593">
        <v>25</v>
      </c>
    </row>
    <row r="594" spans="17:17" x14ac:dyDescent="0.3">
      <c r="Q594">
        <v>25</v>
      </c>
    </row>
    <row r="595" spans="17:17" x14ac:dyDescent="0.3">
      <c r="Q595">
        <v>25</v>
      </c>
    </row>
    <row r="596" spans="17:17" x14ac:dyDescent="0.3">
      <c r="Q596">
        <v>25</v>
      </c>
    </row>
    <row r="597" spans="17:17" x14ac:dyDescent="0.3">
      <c r="Q597">
        <v>25</v>
      </c>
    </row>
    <row r="598" spans="17:17" x14ac:dyDescent="0.3">
      <c r="Q598">
        <v>25</v>
      </c>
    </row>
    <row r="599" spans="17:17" x14ac:dyDescent="0.3">
      <c r="Q599">
        <v>25</v>
      </c>
    </row>
    <row r="600" spans="17:17" x14ac:dyDescent="0.3">
      <c r="Q600">
        <v>25</v>
      </c>
    </row>
    <row r="601" spans="17:17" x14ac:dyDescent="0.3">
      <c r="Q601">
        <v>25</v>
      </c>
    </row>
    <row r="602" spans="17:17" x14ac:dyDescent="0.3">
      <c r="Q602">
        <v>25</v>
      </c>
    </row>
    <row r="603" spans="17:17" x14ac:dyDescent="0.3">
      <c r="Q603">
        <v>25</v>
      </c>
    </row>
    <row r="604" spans="17:17" x14ac:dyDescent="0.3">
      <c r="Q604">
        <v>25</v>
      </c>
    </row>
    <row r="605" spans="17:17" x14ac:dyDescent="0.3">
      <c r="Q605">
        <v>25</v>
      </c>
    </row>
    <row r="606" spans="17:17" x14ac:dyDescent="0.3">
      <c r="Q606">
        <v>25</v>
      </c>
    </row>
    <row r="607" spans="17:17" x14ac:dyDescent="0.3">
      <c r="Q607">
        <v>25</v>
      </c>
    </row>
    <row r="608" spans="17:17" x14ac:dyDescent="0.3">
      <c r="Q608">
        <v>25</v>
      </c>
    </row>
    <row r="609" spans="17:17" x14ac:dyDescent="0.3">
      <c r="Q609">
        <v>25</v>
      </c>
    </row>
    <row r="610" spans="17:17" x14ac:dyDescent="0.3">
      <c r="Q610">
        <v>25</v>
      </c>
    </row>
    <row r="611" spans="17:17" x14ac:dyDescent="0.3">
      <c r="Q611">
        <v>25</v>
      </c>
    </row>
    <row r="612" spans="17:17" x14ac:dyDescent="0.3">
      <c r="Q612">
        <v>25</v>
      </c>
    </row>
    <row r="613" spans="17:17" x14ac:dyDescent="0.3">
      <c r="Q613">
        <v>25</v>
      </c>
    </row>
    <row r="614" spans="17:17" x14ac:dyDescent="0.3">
      <c r="Q614">
        <v>25</v>
      </c>
    </row>
    <row r="615" spans="17:17" x14ac:dyDescent="0.3">
      <c r="Q615">
        <v>25</v>
      </c>
    </row>
    <row r="616" spans="17:17" x14ac:dyDescent="0.3">
      <c r="Q616">
        <v>25</v>
      </c>
    </row>
    <row r="617" spans="17:17" x14ac:dyDescent="0.3">
      <c r="Q617">
        <v>25</v>
      </c>
    </row>
    <row r="618" spans="17:17" x14ac:dyDescent="0.3">
      <c r="Q618">
        <v>25</v>
      </c>
    </row>
    <row r="619" spans="17:17" x14ac:dyDescent="0.3">
      <c r="Q619">
        <v>25</v>
      </c>
    </row>
    <row r="620" spans="17:17" x14ac:dyDescent="0.3">
      <c r="Q620">
        <v>25</v>
      </c>
    </row>
    <row r="621" spans="17:17" x14ac:dyDescent="0.3">
      <c r="Q621">
        <v>25</v>
      </c>
    </row>
    <row r="622" spans="17:17" x14ac:dyDescent="0.3">
      <c r="Q622">
        <v>25</v>
      </c>
    </row>
    <row r="623" spans="17:17" x14ac:dyDescent="0.3">
      <c r="Q623">
        <v>25</v>
      </c>
    </row>
    <row r="624" spans="17:17" x14ac:dyDescent="0.3">
      <c r="Q624">
        <v>25</v>
      </c>
    </row>
    <row r="625" spans="17:17" x14ac:dyDescent="0.3">
      <c r="Q625">
        <v>25</v>
      </c>
    </row>
    <row r="626" spans="17:17" x14ac:dyDescent="0.3">
      <c r="Q626">
        <v>25</v>
      </c>
    </row>
    <row r="627" spans="17:17" x14ac:dyDescent="0.3">
      <c r="Q627">
        <v>25</v>
      </c>
    </row>
    <row r="628" spans="17:17" x14ac:dyDescent="0.3">
      <c r="Q628">
        <v>25</v>
      </c>
    </row>
    <row r="629" spans="17:17" x14ac:dyDescent="0.3">
      <c r="Q629">
        <v>25</v>
      </c>
    </row>
    <row r="630" spans="17:17" x14ac:dyDescent="0.3">
      <c r="Q630">
        <v>25</v>
      </c>
    </row>
    <row r="631" spans="17:17" x14ac:dyDescent="0.3">
      <c r="Q631">
        <v>25</v>
      </c>
    </row>
    <row r="632" spans="17:17" x14ac:dyDescent="0.3">
      <c r="Q632">
        <v>25</v>
      </c>
    </row>
    <row r="633" spans="17:17" x14ac:dyDescent="0.3">
      <c r="Q633">
        <v>25</v>
      </c>
    </row>
    <row r="634" spans="17:17" x14ac:dyDescent="0.3">
      <c r="Q634">
        <v>25</v>
      </c>
    </row>
    <row r="635" spans="17:17" x14ac:dyDescent="0.3">
      <c r="Q635">
        <v>25</v>
      </c>
    </row>
    <row r="636" spans="17:17" x14ac:dyDescent="0.3">
      <c r="Q636">
        <v>25</v>
      </c>
    </row>
    <row r="637" spans="17:17" x14ac:dyDescent="0.3">
      <c r="Q637">
        <v>25</v>
      </c>
    </row>
    <row r="638" spans="17:17" x14ac:dyDescent="0.3">
      <c r="Q638">
        <v>25</v>
      </c>
    </row>
    <row r="639" spans="17:17" x14ac:dyDescent="0.3">
      <c r="Q639">
        <v>25</v>
      </c>
    </row>
    <row r="640" spans="17:17" x14ac:dyDescent="0.3">
      <c r="Q640">
        <v>25</v>
      </c>
    </row>
    <row r="641" spans="17:17" x14ac:dyDescent="0.3">
      <c r="Q641">
        <v>25</v>
      </c>
    </row>
    <row r="642" spans="17:17" x14ac:dyDescent="0.3">
      <c r="Q642">
        <v>25</v>
      </c>
    </row>
    <row r="643" spans="17:17" x14ac:dyDescent="0.3">
      <c r="Q643">
        <v>25</v>
      </c>
    </row>
    <row r="644" spans="17:17" x14ac:dyDescent="0.3">
      <c r="Q644">
        <v>25</v>
      </c>
    </row>
    <row r="645" spans="17:17" x14ac:dyDescent="0.3">
      <c r="Q645">
        <v>25</v>
      </c>
    </row>
    <row r="646" spans="17:17" x14ac:dyDescent="0.3">
      <c r="Q646">
        <v>25</v>
      </c>
    </row>
    <row r="647" spans="17:17" x14ac:dyDescent="0.3">
      <c r="Q647">
        <v>25</v>
      </c>
    </row>
    <row r="648" spans="17:17" x14ac:dyDescent="0.3">
      <c r="Q648">
        <v>25</v>
      </c>
    </row>
    <row r="649" spans="17:17" x14ac:dyDescent="0.3">
      <c r="Q649">
        <v>25</v>
      </c>
    </row>
    <row r="650" spans="17:17" x14ac:dyDescent="0.3">
      <c r="Q650">
        <v>25</v>
      </c>
    </row>
    <row r="651" spans="17:17" x14ac:dyDescent="0.3">
      <c r="Q651">
        <v>25</v>
      </c>
    </row>
    <row r="652" spans="17:17" x14ac:dyDescent="0.3">
      <c r="Q652">
        <v>25</v>
      </c>
    </row>
    <row r="653" spans="17:17" x14ac:dyDescent="0.3">
      <c r="Q653">
        <v>25</v>
      </c>
    </row>
    <row r="654" spans="17:17" x14ac:dyDescent="0.3">
      <c r="Q654">
        <v>25</v>
      </c>
    </row>
    <row r="655" spans="17:17" x14ac:dyDescent="0.3">
      <c r="Q655">
        <v>25</v>
      </c>
    </row>
    <row r="656" spans="17:17" x14ac:dyDescent="0.3">
      <c r="Q656">
        <v>25</v>
      </c>
    </row>
    <row r="657" spans="17:17" x14ac:dyDescent="0.3">
      <c r="Q657">
        <v>25</v>
      </c>
    </row>
    <row r="658" spans="17:17" x14ac:dyDescent="0.3">
      <c r="Q658">
        <v>25</v>
      </c>
    </row>
    <row r="659" spans="17:17" x14ac:dyDescent="0.3">
      <c r="Q659">
        <v>25</v>
      </c>
    </row>
    <row r="660" spans="17:17" x14ac:dyDescent="0.3">
      <c r="Q660">
        <v>25</v>
      </c>
    </row>
    <row r="661" spans="17:17" x14ac:dyDescent="0.3">
      <c r="Q661">
        <v>25</v>
      </c>
    </row>
    <row r="662" spans="17:17" x14ac:dyDescent="0.3">
      <c r="Q662">
        <v>25</v>
      </c>
    </row>
    <row r="663" spans="17:17" x14ac:dyDescent="0.3">
      <c r="Q663">
        <v>25</v>
      </c>
    </row>
    <row r="664" spans="17:17" x14ac:dyDescent="0.3">
      <c r="Q664">
        <v>25</v>
      </c>
    </row>
    <row r="665" spans="17:17" x14ac:dyDescent="0.3">
      <c r="Q665">
        <v>25</v>
      </c>
    </row>
    <row r="666" spans="17:17" x14ac:dyDescent="0.3">
      <c r="Q666">
        <v>25</v>
      </c>
    </row>
    <row r="667" spans="17:17" x14ac:dyDescent="0.3">
      <c r="Q667">
        <v>25</v>
      </c>
    </row>
    <row r="668" spans="17:17" x14ac:dyDescent="0.3">
      <c r="Q668">
        <v>25</v>
      </c>
    </row>
    <row r="669" spans="17:17" x14ac:dyDescent="0.3">
      <c r="Q669">
        <v>25</v>
      </c>
    </row>
    <row r="670" spans="17:17" x14ac:dyDescent="0.3">
      <c r="Q670">
        <v>25</v>
      </c>
    </row>
    <row r="671" spans="17:17" x14ac:dyDescent="0.3">
      <c r="Q671">
        <v>25</v>
      </c>
    </row>
    <row r="672" spans="17:17" x14ac:dyDescent="0.3">
      <c r="Q672">
        <v>25</v>
      </c>
    </row>
    <row r="673" spans="17:17" x14ac:dyDescent="0.3">
      <c r="Q673">
        <v>25</v>
      </c>
    </row>
    <row r="674" spans="17:17" x14ac:dyDescent="0.3">
      <c r="Q674">
        <v>25</v>
      </c>
    </row>
    <row r="675" spans="17:17" x14ac:dyDescent="0.3">
      <c r="Q675">
        <v>25</v>
      </c>
    </row>
    <row r="676" spans="17:17" x14ac:dyDescent="0.3">
      <c r="Q676">
        <v>25</v>
      </c>
    </row>
    <row r="677" spans="17:17" x14ac:dyDescent="0.3">
      <c r="Q677">
        <v>25</v>
      </c>
    </row>
    <row r="678" spans="17:17" x14ac:dyDescent="0.3">
      <c r="Q678">
        <v>25</v>
      </c>
    </row>
    <row r="679" spans="17:17" x14ac:dyDescent="0.3">
      <c r="Q679">
        <v>25</v>
      </c>
    </row>
    <row r="680" spans="17:17" x14ac:dyDescent="0.3">
      <c r="Q680">
        <v>25</v>
      </c>
    </row>
    <row r="681" spans="17:17" x14ac:dyDescent="0.3">
      <c r="Q681">
        <v>25</v>
      </c>
    </row>
    <row r="682" spans="17:17" x14ac:dyDescent="0.3">
      <c r="Q682">
        <v>25</v>
      </c>
    </row>
    <row r="683" spans="17:17" x14ac:dyDescent="0.3">
      <c r="Q683">
        <v>25</v>
      </c>
    </row>
    <row r="684" spans="17:17" x14ac:dyDescent="0.3">
      <c r="Q684">
        <v>25</v>
      </c>
    </row>
    <row r="685" spans="17:17" x14ac:dyDescent="0.3">
      <c r="Q685">
        <v>25</v>
      </c>
    </row>
    <row r="686" spans="17:17" x14ac:dyDescent="0.3">
      <c r="Q686">
        <v>25</v>
      </c>
    </row>
    <row r="687" spans="17:17" x14ac:dyDescent="0.3">
      <c r="Q687">
        <v>25</v>
      </c>
    </row>
    <row r="688" spans="17:17" x14ac:dyDescent="0.3">
      <c r="Q688">
        <v>25</v>
      </c>
    </row>
    <row r="689" spans="17:17" x14ac:dyDescent="0.3">
      <c r="Q689">
        <v>25</v>
      </c>
    </row>
    <row r="690" spans="17:17" x14ac:dyDescent="0.3">
      <c r="Q690">
        <v>25</v>
      </c>
    </row>
    <row r="691" spans="17:17" x14ac:dyDescent="0.3">
      <c r="Q691">
        <v>25</v>
      </c>
    </row>
    <row r="692" spans="17:17" x14ac:dyDescent="0.3">
      <c r="Q692">
        <v>25</v>
      </c>
    </row>
    <row r="693" spans="17:17" x14ac:dyDescent="0.3">
      <c r="Q693">
        <v>25</v>
      </c>
    </row>
    <row r="694" spans="17:17" x14ac:dyDescent="0.3">
      <c r="Q694">
        <v>25</v>
      </c>
    </row>
    <row r="695" spans="17:17" x14ac:dyDescent="0.3">
      <c r="Q695">
        <v>25</v>
      </c>
    </row>
    <row r="696" spans="17:17" x14ac:dyDescent="0.3">
      <c r="Q696">
        <v>25</v>
      </c>
    </row>
    <row r="697" spans="17:17" x14ac:dyDescent="0.3">
      <c r="Q697">
        <v>25</v>
      </c>
    </row>
    <row r="698" spans="17:17" x14ac:dyDescent="0.3">
      <c r="Q698">
        <v>25</v>
      </c>
    </row>
    <row r="699" spans="17:17" x14ac:dyDescent="0.3">
      <c r="Q699">
        <v>25</v>
      </c>
    </row>
    <row r="700" spans="17:17" x14ac:dyDescent="0.3">
      <c r="Q700">
        <v>25</v>
      </c>
    </row>
    <row r="701" spans="17:17" x14ac:dyDescent="0.3">
      <c r="Q701">
        <v>25</v>
      </c>
    </row>
    <row r="702" spans="17:17" x14ac:dyDescent="0.3">
      <c r="Q702">
        <v>25</v>
      </c>
    </row>
    <row r="703" spans="17:17" x14ac:dyDescent="0.3">
      <c r="Q703">
        <v>25</v>
      </c>
    </row>
    <row r="704" spans="17:17" x14ac:dyDescent="0.3">
      <c r="Q704">
        <v>25</v>
      </c>
    </row>
    <row r="705" spans="17:17" x14ac:dyDescent="0.3">
      <c r="Q705">
        <v>25</v>
      </c>
    </row>
    <row r="706" spans="17:17" x14ac:dyDescent="0.3">
      <c r="Q706">
        <v>25</v>
      </c>
    </row>
    <row r="707" spans="17:17" x14ac:dyDescent="0.3">
      <c r="Q707">
        <v>25</v>
      </c>
    </row>
    <row r="708" spans="17:17" x14ac:dyDescent="0.3">
      <c r="Q708">
        <v>25</v>
      </c>
    </row>
    <row r="709" spans="17:17" x14ac:dyDescent="0.3">
      <c r="Q709">
        <v>25</v>
      </c>
    </row>
    <row r="710" spans="17:17" x14ac:dyDescent="0.3">
      <c r="Q710">
        <v>25</v>
      </c>
    </row>
    <row r="711" spans="17:17" x14ac:dyDescent="0.3">
      <c r="Q711">
        <v>25</v>
      </c>
    </row>
    <row r="712" spans="17:17" x14ac:dyDescent="0.3">
      <c r="Q712">
        <v>25</v>
      </c>
    </row>
    <row r="713" spans="17:17" x14ac:dyDescent="0.3">
      <c r="Q713">
        <v>25</v>
      </c>
    </row>
    <row r="714" spans="17:17" x14ac:dyDescent="0.3">
      <c r="Q714">
        <v>25</v>
      </c>
    </row>
    <row r="715" spans="17:17" x14ac:dyDescent="0.3">
      <c r="Q715">
        <v>25</v>
      </c>
    </row>
    <row r="716" spans="17:17" x14ac:dyDescent="0.3">
      <c r="Q716">
        <v>25</v>
      </c>
    </row>
    <row r="717" spans="17:17" x14ac:dyDescent="0.3">
      <c r="Q717">
        <v>25</v>
      </c>
    </row>
    <row r="718" spans="17:17" x14ac:dyDescent="0.3">
      <c r="Q718">
        <v>25</v>
      </c>
    </row>
    <row r="719" spans="17:17" x14ac:dyDescent="0.3">
      <c r="Q719">
        <v>25</v>
      </c>
    </row>
    <row r="720" spans="17:17" x14ac:dyDescent="0.3">
      <c r="Q720">
        <v>25</v>
      </c>
    </row>
    <row r="721" spans="17:17" x14ac:dyDescent="0.3">
      <c r="Q721">
        <v>25</v>
      </c>
    </row>
    <row r="722" spans="17:17" x14ac:dyDescent="0.3">
      <c r="Q722">
        <v>25</v>
      </c>
    </row>
    <row r="723" spans="17:17" x14ac:dyDescent="0.3">
      <c r="Q723">
        <v>25</v>
      </c>
    </row>
    <row r="724" spans="17:17" x14ac:dyDescent="0.3">
      <c r="Q724">
        <v>25</v>
      </c>
    </row>
    <row r="725" spans="17:17" x14ac:dyDescent="0.3">
      <c r="Q725">
        <v>25</v>
      </c>
    </row>
    <row r="726" spans="17:17" x14ac:dyDescent="0.3">
      <c r="Q726">
        <v>25</v>
      </c>
    </row>
    <row r="727" spans="17:17" x14ac:dyDescent="0.3">
      <c r="Q727">
        <v>25</v>
      </c>
    </row>
    <row r="728" spans="17:17" x14ac:dyDescent="0.3">
      <c r="Q728">
        <v>25</v>
      </c>
    </row>
    <row r="729" spans="17:17" x14ac:dyDescent="0.3">
      <c r="Q729">
        <v>25</v>
      </c>
    </row>
    <row r="730" spans="17:17" x14ac:dyDescent="0.3">
      <c r="Q730">
        <v>25</v>
      </c>
    </row>
    <row r="731" spans="17:17" x14ac:dyDescent="0.3">
      <c r="Q731">
        <v>25</v>
      </c>
    </row>
    <row r="732" spans="17:17" x14ac:dyDescent="0.3">
      <c r="Q732">
        <v>25</v>
      </c>
    </row>
    <row r="733" spans="17:17" x14ac:dyDescent="0.3">
      <c r="Q733">
        <v>25</v>
      </c>
    </row>
    <row r="734" spans="17:17" x14ac:dyDescent="0.3">
      <c r="Q734">
        <v>25</v>
      </c>
    </row>
    <row r="735" spans="17:17" x14ac:dyDescent="0.3">
      <c r="Q735">
        <v>25</v>
      </c>
    </row>
    <row r="736" spans="17:17" x14ac:dyDescent="0.3">
      <c r="Q736">
        <v>25</v>
      </c>
    </row>
    <row r="737" spans="17:17" x14ac:dyDescent="0.3">
      <c r="Q737">
        <v>25</v>
      </c>
    </row>
    <row r="738" spans="17:17" x14ac:dyDescent="0.3">
      <c r="Q738">
        <v>25</v>
      </c>
    </row>
    <row r="739" spans="17:17" x14ac:dyDescent="0.3">
      <c r="Q739">
        <v>25</v>
      </c>
    </row>
    <row r="740" spans="17:17" x14ac:dyDescent="0.3">
      <c r="Q740">
        <v>25</v>
      </c>
    </row>
    <row r="741" spans="17:17" x14ac:dyDescent="0.3">
      <c r="Q741">
        <v>25</v>
      </c>
    </row>
    <row r="742" spans="17:17" x14ac:dyDescent="0.3">
      <c r="Q742">
        <v>25</v>
      </c>
    </row>
    <row r="743" spans="17:17" x14ac:dyDescent="0.3">
      <c r="Q743">
        <v>25</v>
      </c>
    </row>
    <row r="744" spans="17:17" x14ac:dyDescent="0.3">
      <c r="Q744">
        <v>25</v>
      </c>
    </row>
    <row r="745" spans="17:17" x14ac:dyDescent="0.3">
      <c r="Q745">
        <v>25</v>
      </c>
    </row>
    <row r="746" spans="17:17" x14ac:dyDescent="0.3">
      <c r="Q746">
        <v>25</v>
      </c>
    </row>
    <row r="747" spans="17:17" x14ac:dyDescent="0.3">
      <c r="Q747">
        <v>25</v>
      </c>
    </row>
    <row r="748" spans="17:17" x14ac:dyDescent="0.3">
      <c r="Q748">
        <v>25</v>
      </c>
    </row>
    <row r="749" spans="17:17" x14ac:dyDescent="0.3">
      <c r="Q749">
        <v>25</v>
      </c>
    </row>
    <row r="750" spans="17:17" x14ac:dyDescent="0.3">
      <c r="Q750">
        <v>25</v>
      </c>
    </row>
    <row r="751" spans="17:17" x14ac:dyDescent="0.3">
      <c r="Q751">
        <v>25</v>
      </c>
    </row>
    <row r="752" spans="17:17" x14ac:dyDescent="0.3">
      <c r="Q752">
        <v>25</v>
      </c>
    </row>
    <row r="753" spans="17:17" x14ac:dyDescent="0.3">
      <c r="Q753">
        <v>25</v>
      </c>
    </row>
    <row r="754" spans="17:17" x14ac:dyDescent="0.3">
      <c r="Q754">
        <v>25</v>
      </c>
    </row>
    <row r="755" spans="17:17" x14ac:dyDescent="0.3">
      <c r="Q755">
        <v>25</v>
      </c>
    </row>
    <row r="756" spans="17:17" x14ac:dyDescent="0.3">
      <c r="Q756">
        <v>25</v>
      </c>
    </row>
    <row r="757" spans="17:17" x14ac:dyDescent="0.3">
      <c r="Q757">
        <v>25</v>
      </c>
    </row>
    <row r="758" spans="17:17" x14ac:dyDescent="0.3">
      <c r="Q758">
        <v>25</v>
      </c>
    </row>
    <row r="759" spans="17:17" x14ac:dyDescent="0.3">
      <c r="Q759">
        <v>25</v>
      </c>
    </row>
    <row r="760" spans="17:17" x14ac:dyDescent="0.3">
      <c r="Q760">
        <v>25</v>
      </c>
    </row>
    <row r="761" spans="17:17" x14ac:dyDescent="0.3">
      <c r="Q761">
        <v>25</v>
      </c>
    </row>
    <row r="762" spans="17:17" x14ac:dyDescent="0.3">
      <c r="Q762">
        <v>25</v>
      </c>
    </row>
    <row r="763" spans="17:17" x14ac:dyDescent="0.3">
      <c r="Q763">
        <v>25</v>
      </c>
    </row>
    <row r="764" spans="17:17" x14ac:dyDescent="0.3">
      <c r="Q764">
        <v>25</v>
      </c>
    </row>
    <row r="765" spans="17:17" x14ac:dyDescent="0.3">
      <c r="Q765">
        <v>25</v>
      </c>
    </row>
    <row r="766" spans="17:17" x14ac:dyDescent="0.3">
      <c r="Q766">
        <v>25</v>
      </c>
    </row>
    <row r="767" spans="17:17" x14ac:dyDescent="0.3">
      <c r="Q767">
        <v>25</v>
      </c>
    </row>
    <row r="768" spans="17:17" x14ac:dyDescent="0.3">
      <c r="Q768">
        <v>25</v>
      </c>
    </row>
    <row r="769" spans="17:17" x14ac:dyDescent="0.3">
      <c r="Q769">
        <v>25</v>
      </c>
    </row>
    <row r="770" spans="17:17" x14ac:dyDescent="0.3">
      <c r="Q770">
        <v>25</v>
      </c>
    </row>
    <row r="771" spans="17:17" x14ac:dyDescent="0.3">
      <c r="Q771">
        <v>25</v>
      </c>
    </row>
    <row r="772" spans="17:17" x14ac:dyDescent="0.3">
      <c r="Q772">
        <v>25</v>
      </c>
    </row>
    <row r="773" spans="17:17" x14ac:dyDescent="0.3">
      <c r="Q773">
        <v>25</v>
      </c>
    </row>
    <row r="774" spans="17:17" x14ac:dyDescent="0.3">
      <c r="Q774">
        <v>25</v>
      </c>
    </row>
    <row r="775" spans="17:17" x14ac:dyDescent="0.3">
      <c r="Q775">
        <v>25</v>
      </c>
    </row>
    <row r="776" spans="17:17" x14ac:dyDescent="0.3">
      <c r="Q776">
        <v>25</v>
      </c>
    </row>
    <row r="777" spans="17:17" x14ac:dyDescent="0.3">
      <c r="Q777">
        <v>25</v>
      </c>
    </row>
    <row r="778" spans="17:17" x14ac:dyDescent="0.3">
      <c r="Q778">
        <v>25</v>
      </c>
    </row>
    <row r="779" spans="17:17" x14ac:dyDescent="0.3">
      <c r="Q779">
        <v>25</v>
      </c>
    </row>
    <row r="780" spans="17:17" x14ac:dyDescent="0.3">
      <c r="Q780">
        <v>25</v>
      </c>
    </row>
    <row r="781" spans="17:17" x14ac:dyDescent="0.3">
      <c r="Q781">
        <v>25</v>
      </c>
    </row>
    <row r="782" spans="17:17" x14ac:dyDescent="0.3">
      <c r="Q782">
        <v>25</v>
      </c>
    </row>
    <row r="783" spans="17:17" x14ac:dyDescent="0.3">
      <c r="Q783">
        <v>25</v>
      </c>
    </row>
    <row r="784" spans="17:17" x14ac:dyDescent="0.3">
      <c r="Q784">
        <v>25</v>
      </c>
    </row>
    <row r="785" spans="17:17" x14ac:dyDescent="0.3">
      <c r="Q785">
        <v>25</v>
      </c>
    </row>
    <row r="786" spans="17:17" x14ac:dyDescent="0.3">
      <c r="Q786">
        <v>25</v>
      </c>
    </row>
    <row r="787" spans="17:17" x14ac:dyDescent="0.3">
      <c r="Q787">
        <v>25</v>
      </c>
    </row>
    <row r="788" spans="17:17" x14ac:dyDescent="0.3">
      <c r="Q788">
        <v>25</v>
      </c>
    </row>
    <row r="789" spans="17:17" x14ac:dyDescent="0.3">
      <c r="Q789">
        <v>25</v>
      </c>
    </row>
    <row r="790" spans="17:17" x14ac:dyDescent="0.3">
      <c r="Q790">
        <v>25</v>
      </c>
    </row>
    <row r="791" spans="17:17" x14ac:dyDescent="0.3">
      <c r="Q791">
        <v>25</v>
      </c>
    </row>
    <row r="792" spans="17:17" x14ac:dyDescent="0.3">
      <c r="Q792">
        <v>25</v>
      </c>
    </row>
    <row r="793" spans="17:17" x14ac:dyDescent="0.3">
      <c r="Q793">
        <v>25</v>
      </c>
    </row>
    <row r="794" spans="17:17" x14ac:dyDescent="0.3">
      <c r="Q794">
        <v>25</v>
      </c>
    </row>
    <row r="795" spans="17:17" x14ac:dyDescent="0.3">
      <c r="Q795">
        <v>25</v>
      </c>
    </row>
    <row r="796" spans="17:17" x14ac:dyDescent="0.3">
      <c r="Q796">
        <v>25</v>
      </c>
    </row>
    <row r="797" spans="17:17" x14ac:dyDescent="0.3">
      <c r="Q797">
        <v>25</v>
      </c>
    </row>
    <row r="798" spans="17:17" x14ac:dyDescent="0.3">
      <c r="Q798">
        <v>25</v>
      </c>
    </row>
    <row r="799" spans="17:17" x14ac:dyDescent="0.3">
      <c r="Q799">
        <v>25</v>
      </c>
    </row>
    <row r="800" spans="17:17" x14ac:dyDescent="0.3">
      <c r="Q800">
        <v>25</v>
      </c>
    </row>
    <row r="801" spans="17:17" x14ac:dyDescent="0.3">
      <c r="Q801">
        <v>25</v>
      </c>
    </row>
    <row r="802" spans="17:17" x14ac:dyDescent="0.3">
      <c r="Q802">
        <v>25</v>
      </c>
    </row>
    <row r="803" spans="17:17" x14ac:dyDescent="0.3">
      <c r="Q803">
        <v>25</v>
      </c>
    </row>
    <row r="804" spans="17:17" x14ac:dyDescent="0.3">
      <c r="Q804">
        <v>25</v>
      </c>
    </row>
    <row r="805" spans="17:17" x14ac:dyDescent="0.3">
      <c r="Q805">
        <v>25</v>
      </c>
    </row>
    <row r="806" spans="17:17" x14ac:dyDescent="0.3">
      <c r="Q806">
        <v>25</v>
      </c>
    </row>
    <row r="807" spans="17:17" x14ac:dyDescent="0.3">
      <c r="Q807">
        <v>25</v>
      </c>
    </row>
    <row r="808" spans="17:17" x14ac:dyDescent="0.3">
      <c r="Q808">
        <v>25</v>
      </c>
    </row>
    <row r="809" spans="17:17" x14ac:dyDescent="0.3">
      <c r="Q809">
        <v>25</v>
      </c>
    </row>
    <row r="810" spans="17:17" x14ac:dyDescent="0.3">
      <c r="Q810">
        <v>25</v>
      </c>
    </row>
    <row r="811" spans="17:17" x14ac:dyDescent="0.3">
      <c r="Q811">
        <v>25</v>
      </c>
    </row>
    <row r="812" spans="17:17" x14ac:dyDescent="0.3">
      <c r="Q812">
        <v>25</v>
      </c>
    </row>
    <row r="813" spans="17:17" x14ac:dyDescent="0.3">
      <c r="Q813">
        <v>25</v>
      </c>
    </row>
    <row r="814" spans="17:17" x14ac:dyDescent="0.3">
      <c r="Q814">
        <v>25</v>
      </c>
    </row>
    <row r="815" spans="17:17" x14ac:dyDescent="0.3">
      <c r="Q815">
        <v>25</v>
      </c>
    </row>
    <row r="816" spans="17:17" x14ac:dyDescent="0.3">
      <c r="Q816">
        <v>25</v>
      </c>
    </row>
    <row r="817" spans="17:17" x14ac:dyDescent="0.3">
      <c r="Q817">
        <v>25</v>
      </c>
    </row>
    <row r="818" spans="17:17" x14ac:dyDescent="0.3">
      <c r="Q818">
        <v>25</v>
      </c>
    </row>
    <row r="819" spans="17:17" x14ac:dyDescent="0.3">
      <c r="Q819">
        <v>25</v>
      </c>
    </row>
    <row r="820" spans="17:17" x14ac:dyDescent="0.3">
      <c r="Q820">
        <v>25</v>
      </c>
    </row>
    <row r="821" spans="17:17" x14ac:dyDescent="0.3">
      <c r="Q821">
        <v>25</v>
      </c>
    </row>
    <row r="822" spans="17:17" x14ac:dyDescent="0.3">
      <c r="Q822">
        <v>25</v>
      </c>
    </row>
    <row r="823" spans="17:17" x14ac:dyDescent="0.3">
      <c r="Q823">
        <v>25</v>
      </c>
    </row>
    <row r="824" spans="17:17" x14ac:dyDescent="0.3">
      <c r="Q824">
        <v>25</v>
      </c>
    </row>
    <row r="825" spans="17:17" x14ac:dyDescent="0.3">
      <c r="Q825">
        <v>25</v>
      </c>
    </row>
    <row r="826" spans="17:17" x14ac:dyDescent="0.3">
      <c r="Q826">
        <v>25</v>
      </c>
    </row>
    <row r="827" spans="17:17" x14ac:dyDescent="0.3">
      <c r="Q827">
        <v>25</v>
      </c>
    </row>
    <row r="828" spans="17:17" x14ac:dyDescent="0.3">
      <c r="Q828">
        <v>25</v>
      </c>
    </row>
    <row r="829" spans="17:17" x14ac:dyDescent="0.3">
      <c r="Q829">
        <v>25</v>
      </c>
    </row>
    <row r="830" spans="17:17" x14ac:dyDescent="0.3">
      <c r="Q830">
        <v>25</v>
      </c>
    </row>
    <row r="831" spans="17:17" x14ac:dyDescent="0.3">
      <c r="Q831">
        <v>25</v>
      </c>
    </row>
    <row r="832" spans="17:17" x14ac:dyDescent="0.3">
      <c r="Q832">
        <v>25</v>
      </c>
    </row>
    <row r="833" spans="17:17" x14ac:dyDescent="0.3">
      <c r="Q833">
        <v>25</v>
      </c>
    </row>
    <row r="834" spans="17:17" x14ac:dyDescent="0.3">
      <c r="Q834">
        <v>25</v>
      </c>
    </row>
    <row r="835" spans="17:17" x14ac:dyDescent="0.3">
      <c r="Q835">
        <v>25</v>
      </c>
    </row>
    <row r="836" spans="17:17" x14ac:dyDescent="0.3">
      <c r="Q836">
        <v>25</v>
      </c>
    </row>
    <row r="837" spans="17:17" x14ac:dyDescent="0.3">
      <c r="Q837">
        <v>25</v>
      </c>
    </row>
    <row r="838" spans="17:17" x14ac:dyDescent="0.3">
      <c r="Q838">
        <v>25</v>
      </c>
    </row>
    <row r="839" spans="17:17" x14ac:dyDescent="0.3">
      <c r="Q839">
        <v>25</v>
      </c>
    </row>
    <row r="840" spans="17:17" x14ac:dyDescent="0.3">
      <c r="Q840">
        <v>25</v>
      </c>
    </row>
    <row r="841" spans="17:17" x14ac:dyDescent="0.3">
      <c r="Q841">
        <v>25</v>
      </c>
    </row>
    <row r="842" spans="17:17" x14ac:dyDescent="0.3">
      <c r="Q842">
        <v>25</v>
      </c>
    </row>
    <row r="843" spans="17:17" x14ac:dyDescent="0.3">
      <c r="Q843">
        <v>25</v>
      </c>
    </row>
    <row r="844" spans="17:17" x14ac:dyDescent="0.3">
      <c r="Q844">
        <v>25</v>
      </c>
    </row>
    <row r="845" spans="17:17" x14ac:dyDescent="0.3">
      <c r="Q845">
        <v>25</v>
      </c>
    </row>
    <row r="846" spans="17:17" x14ac:dyDescent="0.3">
      <c r="Q846">
        <v>25</v>
      </c>
    </row>
    <row r="847" spans="17:17" x14ac:dyDescent="0.3">
      <c r="Q847">
        <v>25</v>
      </c>
    </row>
    <row r="848" spans="17:17" x14ac:dyDescent="0.3">
      <c r="Q848">
        <v>25</v>
      </c>
    </row>
    <row r="849" spans="17:17" x14ac:dyDescent="0.3">
      <c r="Q849">
        <v>25</v>
      </c>
    </row>
    <row r="850" spans="17:17" x14ac:dyDescent="0.3">
      <c r="Q850">
        <v>25</v>
      </c>
    </row>
    <row r="851" spans="17:17" x14ac:dyDescent="0.3">
      <c r="Q851">
        <v>25</v>
      </c>
    </row>
    <row r="852" spans="17:17" x14ac:dyDescent="0.3">
      <c r="Q852">
        <v>25</v>
      </c>
    </row>
    <row r="853" spans="17:17" x14ac:dyDescent="0.3">
      <c r="Q853">
        <v>25</v>
      </c>
    </row>
    <row r="854" spans="17:17" x14ac:dyDescent="0.3">
      <c r="Q854">
        <v>25</v>
      </c>
    </row>
    <row r="855" spans="17:17" x14ac:dyDescent="0.3">
      <c r="Q855">
        <v>25</v>
      </c>
    </row>
    <row r="856" spans="17:17" x14ac:dyDescent="0.3">
      <c r="Q856">
        <v>25</v>
      </c>
    </row>
    <row r="857" spans="17:17" x14ac:dyDescent="0.3">
      <c r="Q857">
        <v>25</v>
      </c>
    </row>
    <row r="858" spans="17:17" x14ac:dyDescent="0.3">
      <c r="Q858">
        <v>25</v>
      </c>
    </row>
    <row r="859" spans="17:17" x14ac:dyDescent="0.3">
      <c r="Q859">
        <v>25</v>
      </c>
    </row>
    <row r="860" spans="17:17" x14ac:dyDescent="0.3">
      <c r="Q860">
        <v>25</v>
      </c>
    </row>
    <row r="861" spans="17:17" x14ac:dyDescent="0.3">
      <c r="Q861">
        <v>25</v>
      </c>
    </row>
    <row r="862" spans="17:17" x14ac:dyDescent="0.3">
      <c r="Q862">
        <v>25</v>
      </c>
    </row>
    <row r="863" spans="17:17" x14ac:dyDescent="0.3">
      <c r="Q863">
        <v>25</v>
      </c>
    </row>
    <row r="864" spans="17:17" x14ac:dyDescent="0.3">
      <c r="Q864">
        <v>25</v>
      </c>
    </row>
    <row r="865" spans="17:17" x14ac:dyDescent="0.3">
      <c r="Q865">
        <v>25</v>
      </c>
    </row>
    <row r="866" spans="17:17" x14ac:dyDescent="0.3">
      <c r="Q866">
        <v>25</v>
      </c>
    </row>
    <row r="867" spans="17:17" x14ac:dyDescent="0.3">
      <c r="Q867">
        <v>25</v>
      </c>
    </row>
    <row r="868" spans="17:17" x14ac:dyDescent="0.3">
      <c r="Q868">
        <v>25</v>
      </c>
    </row>
    <row r="869" spans="17:17" x14ac:dyDescent="0.3">
      <c r="Q869">
        <v>25</v>
      </c>
    </row>
    <row r="870" spans="17:17" x14ac:dyDescent="0.3">
      <c r="Q870">
        <v>25</v>
      </c>
    </row>
    <row r="871" spans="17:17" x14ac:dyDescent="0.3">
      <c r="Q871">
        <v>25</v>
      </c>
    </row>
    <row r="872" spans="17:17" x14ac:dyDescent="0.3">
      <c r="Q872">
        <v>25</v>
      </c>
    </row>
    <row r="873" spans="17:17" x14ac:dyDescent="0.3">
      <c r="Q873">
        <v>25</v>
      </c>
    </row>
    <row r="874" spans="17:17" x14ac:dyDescent="0.3">
      <c r="Q874">
        <v>25</v>
      </c>
    </row>
    <row r="875" spans="17:17" x14ac:dyDescent="0.3">
      <c r="Q875">
        <v>25</v>
      </c>
    </row>
    <row r="876" spans="17:17" x14ac:dyDescent="0.3">
      <c r="Q876">
        <v>25</v>
      </c>
    </row>
    <row r="877" spans="17:17" x14ac:dyDescent="0.3">
      <c r="Q877">
        <v>25</v>
      </c>
    </row>
    <row r="878" spans="17:17" x14ac:dyDescent="0.3">
      <c r="Q878">
        <v>25</v>
      </c>
    </row>
    <row r="879" spans="17:17" x14ac:dyDescent="0.3">
      <c r="Q879">
        <v>25</v>
      </c>
    </row>
    <row r="880" spans="17:17" x14ac:dyDescent="0.3">
      <c r="Q880">
        <v>25</v>
      </c>
    </row>
    <row r="881" spans="17:17" x14ac:dyDescent="0.3">
      <c r="Q881">
        <v>25</v>
      </c>
    </row>
    <row r="882" spans="17:17" x14ac:dyDescent="0.3">
      <c r="Q882">
        <v>25</v>
      </c>
    </row>
    <row r="883" spans="17:17" x14ac:dyDescent="0.3">
      <c r="Q883">
        <v>25</v>
      </c>
    </row>
    <row r="884" spans="17:17" x14ac:dyDescent="0.3">
      <c r="Q884">
        <v>25</v>
      </c>
    </row>
    <row r="885" spans="17:17" x14ac:dyDescent="0.3">
      <c r="Q885">
        <v>25</v>
      </c>
    </row>
    <row r="886" spans="17:17" x14ac:dyDescent="0.3">
      <c r="Q886">
        <v>25</v>
      </c>
    </row>
    <row r="887" spans="17:17" x14ac:dyDescent="0.3">
      <c r="Q887">
        <v>25</v>
      </c>
    </row>
    <row r="888" spans="17:17" x14ac:dyDescent="0.3">
      <c r="Q888">
        <v>25</v>
      </c>
    </row>
    <row r="889" spans="17:17" x14ac:dyDescent="0.3">
      <c r="Q889">
        <v>25</v>
      </c>
    </row>
    <row r="890" spans="17:17" x14ac:dyDescent="0.3">
      <c r="Q890">
        <v>25</v>
      </c>
    </row>
    <row r="891" spans="17:17" x14ac:dyDescent="0.3">
      <c r="Q891">
        <v>25</v>
      </c>
    </row>
    <row r="892" spans="17:17" x14ac:dyDescent="0.3">
      <c r="Q892">
        <v>25</v>
      </c>
    </row>
    <row r="893" spans="17:17" x14ac:dyDescent="0.3">
      <c r="Q893">
        <v>25</v>
      </c>
    </row>
    <row r="894" spans="17:17" x14ac:dyDescent="0.3">
      <c r="Q894">
        <v>25</v>
      </c>
    </row>
    <row r="895" spans="17:17" x14ac:dyDescent="0.3">
      <c r="Q895">
        <v>25</v>
      </c>
    </row>
    <row r="896" spans="17:17" x14ac:dyDescent="0.3">
      <c r="Q896">
        <v>25</v>
      </c>
    </row>
    <row r="897" spans="17:17" x14ac:dyDescent="0.3">
      <c r="Q897">
        <v>25</v>
      </c>
    </row>
    <row r="898" spans="17:17" x14ac:dyDescent="0.3">
      <c r="Q898">
        <v>25</v>
      </c>
    </row>
    <row r="899" spans="17:17" x14ac:dyDescent="0.3">
      <c r="Q899">
        <v>25</v>
      </c>
    </row>
    <row r="900" spans="17:17" x14ac:dyDescent="0.3">
      <c r="Q900">
        <v>25</v>
      </c>
    </row>
    <row r="901" spans="17:17" x14ac:dyDescent="0.3">
      <c r="Q901">
        <v>25</v>
      </c>
    </row>
    <row r="902" spans="17:17" x14ac:dyDescent="0.3">
      <c r="Q902">
        <v>25</v>
      </c>
    </row>
    <row r="903" spans="17:17" x14ac:dyDescent="0.3">
      <c r="Q903">
        <v>25</v>
      </c>
    </row>
    <row r="904" spans="17:17" x14ac:dyDescent="0.3">
      <c r="Q904">
        <v>25</v>
      </c>
    </row>
    <row r="905" spans="17:17" x14ac:dyDescent="0.3">
      <c r="Q905">
        <v>25</v>
      </c>
    </row>
    <row r="906" spans="17:17" x14ac:dyDescent="0.3">
      <c r="Q906">
        <v>25</v>
      </c>
    </row>
    <row r="907" spans="17:17" x14ac:dyDescent="0.3">
      <c r="Q907">
        <v>25</v>
      </c>
    </row>
    <row r="908" spans="17:17" x14ac:dyDescent="0.3">
      <c r="Q908">
        <v>25</v>
      </c>
    </row>
    <row r="909" spans="17:17" x14ac:dyDescent="0.3">
      <c r="Q909">
        <v>25</v>
      </c>
    </row>
    <row r="910" spans="17:17" x14ac:dyDescent="0.3">
      <c r="Q910">
        <v>25</v>
      </c>
    </row>
    <row r="911" spans="17:17" x14ac:dyDescent="0.3">
      <c r="Q911">
        <v>25</v>
      </c>
    </row>
    <row r="912" spans="17:17" x14ac:dyDescent="0.3">
      <c r="Q912">
        <v>25</v>
      </c>
    </row>
    <row r="913" spans="17:17" x14ac:dyDescent="0.3">
      <c r="Q913">
        <v>25</v>
      </c>
    </row>
    <row r="914" spans="17:17" x14ac:dyDescent="0.3">
      <c r="Q914">
        <v>25</v>
      </c>
    </row>
    <row r="915" spans="17:17" x14ac:dyDescent="0.3">
      <c r="Q915">
        <v>25</v>
      </c>
    </row>
    <row r="916" spans="17:17" x14ac:dyDescent="0.3">
      <c r="Q916">
        <v>25</v>
      </c>
    </row>
    <row r="917" spans="17:17" x14ac:dyDescent="0.3">
      <c r="Q917">
        <v>25</v>
      </c>
    </row>
    <row r="918" spans="17:17" x14ac:dyDescent="0.3">
      <c r="Q918">
        <v>25</v>
      </c>
    </row>
    <row r="919" spans="17:17" x14ac:dyDescent="0.3">
      <c r="Q919">
        <v>25</v>
      </c>
    </row>
    <row r="920" spans="17:17" x14ac:dyDescent="0.3">
      <c r="Q920">
        <v>25</v>
      </c>
    </row>
    <row r="921" spans="17:17" x14ac:dyDescent="0.3">
      <c r="Q921">
        <v>25</v>
      </c>
    </row>
    <row r="922" spans="17:17" x14ac:dyDescent="0.3">
      <c r="Q922">
        <v>25</v>
      </c>
    </row>
    <row r="923" spans="17:17" x14ac:dyDescent="0.3">
      <c r="Q923">
        <v>25</v>
      </c>
    </row>
    <row r="924" spans="17:17" x14ac:dyDescent="0.3">
      <c r="Q924">
        <v>25</v>
      </c>
    </row>
    <row r="925" spans="17:17" x14ac:dyDescent="0.3">
      <c r="Q925">
        <v>25</v>
      </c>
    </row>
    <row r="926" spans="17:17" x14ac:dyDescent="0.3">
      <c r="Q926">
        <v>25</v>
      </c>
    </row>
    <row r="927" spans="17:17" x14ac:dyDescent="0.3">
      <c r="Q927">
        <v>25</v>
      </c>
    </row>
    <row r="928" spans="17:17" x14ac:dyDescent="0.3">
      <c r="Q928">
        <v>25</v>
      </c>
    </row>
    <row r="929" spans="17:17" x14ac:dyDescent="0.3">
      <c r="Q929">
        <v>25</v>
      </c>
    </row>
    <row r="930" spans="17:17" x14ac:dyDescent="0.3">
      <c r="Q930">
        <v>25</v>
      </c>
    </row>
    <row r="931" spans="17:17" x14ac:dyDescent="0.3">
      <c r="Q931">
        <v>25</v>
      </c>
    </row>
    <row r="932" spans="17:17" x14ac:dyDescent="0.3">
      <c r="Q932">
        <v>25</v>
      </c>
    </row>
    <row r="933" spans="17:17" x14ac:dyDescent="0.3">
      <c r="Q933">
        <v>25</v>
      </c>
    </row>
    <row r="934" spans="17:17" x14ac:dyDescent="0.3">
      <c r="Q934">
        <v>25</v>
      </c>
    </row>
    <row r="935" spans="17:17" x14ac:dyDescent="0.3">
      <c r="Q935">
        <v>25</v>
      </c>
    </row>
    <row r="936" spans="17:17" x14ac:dyDescent="0.3">
      <c r="Q936">
        <v>25</v>
      </c>
    </row>
    <row r="937" spans="17:17" x14ac:dyDescent="0.3">
      <c r="Q937">
        <v>25</v>
      </c>
    </row>
    <row r="938" spans="17:17" x14ac:dyDescent="0.3">
      <c r="Q938">
        <v>25</v>
      </c>
    </row>
    <row r="939" spans="17:17" x14ac:dyDescent="0.3">
      <c r="Q939">
        <v>25</v>
      </c>
    </row>
    <row r="940" spans="17:17" x14ac:dyDescent="0.3">
      <c r="Q940">
        <v>25</v>
      </c>
    </row>
    <row r="941" spans="17:17" x14ac:dyDescent="0.3">
      <c r="Q941">
        <v>25</v>
      </c>
    </row>
    <row r="942" spans="17:17" x14ac:dyDescent="0.3">
      <c r="Q942">
        <v>25</v>
      </c>
    </row>
    <row r="943" spans="17:17" x14ac:dyDescent="0.3">
      <c r="Q943">
        <v>25</v>
      </c>
    </row>
    <row r="944" spans="17:17" x14ac:dyDescent="0.3">
      <c r="Q944">
        <v>25</v>
      </c>
    </row>
    <row r="945" spans="17:17" x14ac:dyDescent="0.3">
      <c r="Q945">
        <v>25</v>
      </c>
    </row>
    <row r="946" spans="17:17" x14ac:dyDescent="0.3">
      <c r="Q946">
        <v>25</v>
      </c>
    </row>
    <row r="947" spans="17:17" x14ac:dyDescent="0.3">
      <c r="Q947">
        <v>25</v>
      </c>
    </row>
    <row r="948" spans="17:17" x14ac:dyDescent="0.3">
      <c r="Q948">
        <v>25</v>
      </c>
    </row>
    <row r="949" spans="17:17" x14ac:dyDescent="0.3">
      <c r="Q949">
        <v>25</v>
      </c>
    </row>
    <row r="950" spans="17:17" x14ac:dyDescent="0.3">
      <c r="Q950">
        <v>25</v>
      </c>
    </row>
    <row r="951" spans="17:17" x14ac:dyDescent="0.3">
      <c r="Q951">
        <v>25</v>
      </c>
    </row>
    <row r="952" spans="17:17" x14ac:dyDescent="0.3">
      <c r="Q952">
        <v>25</v>
      </c>
    </row>
    <row r="953" spans="17:17" x14ac:dyDescent="0.3">
      <c r="Q953">
        <v>25</v>
      </c>
    </row>
    <row r="954" spans="17:17" x14ac:dyDescent="0.3">
      <c r="Q954">
        <v>25</v>
      </c>
    </row>
    <row r="955" spans="17:17" x14ac:dyDescent="0.3">
      <c r="Q955">
        <v>25</v>
      </c>
    </row>
    <row r="956" spans="17:17" x14ac:dyDescent="0.3">
      <c r="Q956">
        <v>25</v>
      </c>
    </row>
    <row r="957" spans="17:17" x14ac:dyDescent="0.3">
      <c r="Q957">
        <v>25</v>
      </c>
    </row>
    <row r="958" spans="17:17" x14ac:dyDescent="0.3">
      <c r="Q958">
        <v>25</v>
      </c>
    </row>
    <row r="959" spans="17:17" x14ac:dyDescent="0.3">
      <c r="Q959">
        <v>25</v>
      </c>
    </row>
    <row r="960" spans="17:17" x14ac:dyDescent="0.3">
      <c r="Q960">
        <v>25</v>
      </c>
    </row>
    <row r="961" spans="17:17" x14ac:dyDescent="0.3">
      <c r="Q961">
        <v>25</v>
      </c>
    </row>
    <row r="962" spans="17:17" x14ac:dyDescent="0.3">
      <c r="Q962">
        <v>25</v>
      </c>
    </row>
    <row r="963" spans="17:17" x14ac:dyDescent="0.3">
      <c r="Q963">
        <v>25</v>
      </c>
    </row>
    <row r="964" spans="17:17" x14ac:dyDescent="0.3">
      <c r="Q964">
        <v>25</v>
      </c>
    </row>
    <row r="965" spans="17:17" x14ac:dyDescent="0.3">
      <c r="Q965">
        <v>25</v>
      </c>
    </row>
    <row r="966" spans="17:17" x14ac:dyDescent="0.3">
      <c r="Q966">
        <v>25</v>
      </c>
    </row>
    <row r="967" spans="17:17" x14ac:dyDescent="0.3">
      <c r="Q967">
        <v>25</v>
      </c>
    </row>
    <row r="968" spans="17:17" x14ac:dyDescent="0.3">
      <c r="Q968">
        <v>25</v>
      </c>
    </row>
    <row r="969" spans="17:17" x14ac:dyDescent="0.3">
      <c r="Q969">
        <v>25</v>
      </c>
    </row>
    <row r="970" spans="17:17" x14ac:dyDescent="0.3">
      <c r="Q970">
        <v>25</v>
      </c>
    </row>
    <row r="971" spans="17:17" x14ac:dyDescent="0.3">
      <c r="Q971">
        <v>25</v>
      </c>
    </row>
    <row r="972" spans="17:17" x14ac:dyDescent="0.3">
      <c r="Q972">
        <v>25</v>
      </c>
    </row>
    <row r="973" spans="17:17" x14ac:dyDescent="0.3">
      <c r="Q973">
        <v>25</v>
      </c>
    </row>
    <row r="974" spans="17:17" x14ac:dyDescent="0.3">
      <c r="Q974">
        <v>25</v>
      </c>
    </row>
    <row r="975" spans="17:17" x14ac:dyDescent="0.3">
      <c r="Q975">
        <v>25</v>
      </c>
    </row>
    <row r="976" spans="17:17" x14ac:dyDescent="0.3">
      <c r="Q976">
        <v>25</v>
      </c>
    </row>
    <row r="977" spans="17:17" x14ac:dyDescent="0.3">
      <c r="Q977">
        <v>25</v>
      </c>
    </row>
    <row r="978" spans="17:17" x14ac:dyDescent="0.3">
      <c r="Q978">
        <v>25</v>
      </c>
    </row>
    <row r="979" spans="17:17" x14ac:dyDescent="0.3">
      <c r="Q979">
        <v>25</v>
      </c>
    </row>
    <row r="980" spans="17:17" x14ac:dyDescent="0.3">
      <c r="Q980">
        <v>25</v>
      </c>
    </row>
    <row r="981" spans="17:17" x14ac:dyDescent="0.3">
      <c r="Q981">
        <v>25</v>
      </c>
    </row>
    <row r="982" spans="17:17" x14ac:dyDescent="0.3">
      <c r="Q982">
        <v>25</v>
      </c>
    </row>
    <row r="983" spans="17:17" x14ac:dyDescent="0.3">
      <c r="Q983">
        <v>25</v>
      </c>
    </row>
    <row r="984" spans="17:17" x14ac:dyDescent="0.3">
      <c r="Q984">
        <v>25</v>
      </c>
    </row>
    <row r="985" spans="17:17" x14ac:dyDescent="0.3">
      <c r="Q985">
        <v>25</v>
      </c>
    </row>
    <row r="986" spans="17:17" x14ac:dyDescent="0.3">
      <c r="Q986">
        <v>25</v>
      </c>
    </row>
    <row r="987" spans="17:17" x14ac:dyDescent="0.3">
      <c r="Q987">
        <v>25</v>
      </c>
    </row>
    <row r="988" spans="17:17" x14ac:dyDescent="0.3">
      <c r="Q988">
        <v>25</v>
      </c>
    </row>
    <row r="989" spans="17:17" x14ac:dyDescent="0.3">
      <c r="Q989">
        <v>25</v>
      </c>
    </row>
    <row r="990" spans="17:17" x14ac:dyDescent="0.3">
      <c r="Q990">
        <v>25</v>
      </c>
    </row>
    <row r="991" spans="17:17" x14ac:dyDescent="0.3">
      <c r="Q991">
        <v>25</v>
      </c>
    </row>
    <row r="992" spans="17:17" x14ac:dyDescent="0.3">
      <c r="Q992">
        <v>25</v>
      </c>
    </row>
    <row r="993" spans="17:17" x14ac:dyDescent="0.3">
      <c r="Q993">
        <v>25</v>
      </c>
    </row>
    <row r="994" spans="17:17" x14ac:dyDescent="0.3">
      <c r="Q994">
        <v>25</v>
      </c>
    </row>
    <row r="995" spans="17:17" x14ac:dyDescent="0.3">
      <c r="Q995">
        <v>25</v>
      </c>
    </row>
    <row r="996" spans="17:17" x14ac:dyDescent="0.3">
      <c r="Q996">
        <v>25</v>
      </c>
    </row>
    <row r="997" spans="17:17" x14ac:dyDescent="0.3">
      <c r="Q997">
        <v>25</v>
      </c>
    </row>
    <row r="998" spans="17:17" x14ac:dyDescent="0.3">
      <c r="Q998">
        <v>25</v>
      </c>
    </row>
    <row r="999" spans="17:17" x14ac:dyDescent="0.3">
      <c r="Q999">
        <v>25</v>
      </c>
    </row>
    <row r="1000" spans="17:17" x14ac:dyDescent="0.3">
      <c r="Q1000">
        <v>25</v>
      </c>
    </row>
    <row r="1001" spans="17:17" x14ac:dyDescent="0.3">
      <c r="Q1001">
        <v>25</v>
      </c>
    </row>
  </sheetData>
  <sortState xmlns:xlrd2="http://schemas.microsoft.com/office/spreadsheetml/2017/richdata2" ref="D3:F1002">
    <sortCondition ref="D2:D1002"/>
  </sortState>
  <mergeCells count="12">
    <mergeCell ref="B31:B32"/>
    <mergeCell ref="D1:F1"/>
    <mergeCell ref="L1:P1"/>
    <mergeCell ref="H9:J9"/>
    <mergeCell ref="H2:J2"/>
    <mergeCell ref="H16:J16"/>
    <mergeCell ref="H23:I23"/>
    <mergeCell ref="A15:B15"/>
    <mergeCell ref="A16:B16"/>
    <mergeCell ref="A17:B17"/>
    <mergeCell ref="A18:B18"/>
    <mergeCell ref="A19:B19"/>
  </mergeCells>
  <hyperlinks>
    <hyperlink ref="B21:C21" r:id="rId1" display="Link" xr:uid="{43EC8B42-0228-4EA0-BD77-739F0EAE49EC}"/>
  </hyperlinks>
  <pageMargins left="0.7" right="0.7" top="0.75" bottom="0.75" header="0.3" footer="0.3"/>
  <pageSetup orientation="portrait" r:id="rId2"/>
  <ignoredErrors>
    <ignoredError sqref="I7" formulaRange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746760</xdr:colOff>
                    <xdr:row>10</xdr:row>
                    <xdr:rowOff>144780</xdr:rowOff>
                  </from>
                  <to>
                    <xdr:col>1</xdr:col>
                    <xdr:colOff>1203960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Button5_Click">
                <anchor moveWithCells="1" sizeWithCells="1">
                  <from>
                    <xdr:col>0</xdr:col>
                    <xdr:colOff>762000</xdr:colOff>
                    <xdr:row>3</xdr:row>
                    <xdr:rowOff>114300</xdr:rowOff>
                  </from>
                  <to>
                    <xdr:col>1</xdr:col>
                    <xdr:colOff>1226820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59D349D-1571-4688-8722-19A78A53342F}">
          <x14:formula1>
            <xm:f>Stations!$A$1:$C$1</xm:f>
          </x14:formula1>
          <xm:sqref>B2</xm:sqref>
        </x14:dataValidation>
        <x14:dataValidation type="list" allowBlank="1" showInputMessage="1" showErrorMessage="1" xr:uid="{61C9DF87-FD28-4D89-BE8A-5F50463BA6E5}">
          <x14:formula1>
            <xm:f>Stations!$E$2:$E$4</xm:f>
          </x14:formula1>
          <xm:sqref>B10</xm:sqref>
        </x14:dataValidation>
        <x14:dataValidation type="list" allowBlank="1" showInputMessage="1" showErrorMessage="1" xr:uid="{298DB569-8C29-43E8-8B13-B4C7964806F4}">
          <x14:formula1>
            <xm:f>Stations!$B$2:$B$44</xm:f>
          </x14:formula1>
          <xm:sqref>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27"/>
  <sheetViews>
    <sheetView zoomScale="50" zoomScaleNormal="50" workbookViewId="0">
      <selection activeCell="W25" sqref="W25"/>
    </sheetView>
  </sheetViews>
  <sheetFormatPr defaultRowHeight="14.4" x14ac:dyDescent="0.3"/>
  <cols>
    <col min="1" max="1" width="27.44140625" customWidth="1"/>
    <col min="2" max="2" width="13" customWidth="1"/>
    <col min="3" max="3" width="12.21875" customWidth="1"/>
    <col min="4" max="4" width="14.5546875" customWidth="1"/>
    <col min="5" max="5" width="14.6640625" customWidth="1"/>
    <col min="6" max="7" width="12.77734375" customWidth="1"/>
    <col min="8" max="8" width="12.88671875" customWidth="1"/>
    <col min="9" max="9" width="12.77734375" customWidth="1"/>
    <col min="10" max="10" width="12.6640625" customWidth="1"/>
    <col min="11" max="18" width="12.77734375" customWidth="1"/>
    <col min="19" max="19" width="13.77734375" customWidth="1"/>
  </cols>
  <sheetData>
    <row r="1" spans="1:19" ht="27.75" customHeight="1" x14ac:dyDescent="0.3">
      <c r="A1" s="145" t="s">
        <v>0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</row>
    <row r="2" spans="1:19" ht="24" customHeight="1" x14ac:dyDescent="0.3">
      <c r="A2" s="1" t="s">
        <v>1</v>
      </c>
      <c r="B2" s="2">
        <v>260</v>
      </c>
      <c r="C2" s="87" t="s">
        <v>714</v>
      </c>
      <c r="D2" s="88" t="s">
        <v>715</v>
      </c>
      <c r="E2" s="82" t="s">
        <v>696</v>
      </c>
      <c r="F2" s="3">
        <v>240</v>
      </c>
      <c r="G2" s="3">
        <v>264</v>
      </c>
      <c r="H2" s="3">
        <v>374</v>
      </c>
      <c r="I2" s="65">
        <v>42</v>
      </c>
      <c r="J2" s="3">
        <v>266</v>
      </c>
      <c r="K2" s="3">
        <v>242</v>
      </c>
      <c r="L2" s="3">
        <v>376</v>
      </c>
      <c r="M2" s="3">
        <v>268</v>
      </c>
      <c r="N2" s="3">
        <v>270</v>
      </c>
      <c r="O2" s="3">
        <v>244</v>
      </c>
      <c r="P2" s="3">
        <v>272</v>
      </c>
      <c r="Q2" s="3">
        <v>274</v>
      </c>
      <c r="R2" s="3">
        <v>246</v>
      </c>
      <c r="S2" s="4">
        <v>378</v>
      </c>
    </row>
    <row r="3" spans="1:19" ht="24.75" customHeight="1" x14ac:dyDescent="0.3">
      <c r="A3" s="5" t="s">
        <v>2</v>
      </c>
      <c r="B3" s="6"/>
      <c r="C3" s="89"/>
      <c r="D3" s="89"/>
      <c r="E3" s="83"/>
      <c r="F3" s="8" t="s">
        <v>3</v>
      </c>
      <c r="G3" s="7"/>
      <c r="H3" s="7"/>
      <c r="I3" s="66">
        <v>0.35972222222222222</v>
      </c>
      <c r="J3" s="49"/>
      <c r="K3" s="50" t="s">
        <v>523</v>
      </c>
      <c r="L3" s="7"/>
      <c r="M3" s="7"/>
      <c r="N3" s="7"/>
      <c r="O3" s="8" t="s">
        <v>5</v>
      </c>
      <c r="P3" s="7"/>
      <c r="Q3" s="7"/>
      <c r="R3" s="8" t="s">
        <v>6</v>
      </c>
      <c r="S3" s="9"/>
    </row>
    <row r="4" spans="1:19" ht="23.4" customHeight="1" x14ac:dyDescent="0.3">
      <c r="A4" s="10" t="s">
        <v>493</v>
      </c>
      <c r="B4" s="11"/>
      <c r="C4" s="90"/>
      <c r="D4" s="90"/>
      <c r="E4" s="84"/>
      <c r="F4" s="13" t="s">
        <v>7</v>
      </c>
      <c r="G4" s="12"/>
      <c r="H4" s="12"/>
      <c r="I4" s="67" t="s">
        <v>8</v>
      </c>
      <c r="J4" s="12"/>
      <c r="K4" s="13" t="s">
        <v>9</v>
      </c>
      <c r="L4" s="12"/>
      <c r="M4" s="12"/>
      <c r="N4" s="12"/>
      <c r="O4" s="13" t="s">
        <v>10</v>
      </c>
      <c r="P4" s="12"/>
      <c r="Q4" s="12"/>
      <c r="R4" s="13" t="s">
        <v>11</v>
      </c>
      <c r="S4" s="14"/>
    </row>
    <row r="5" spans="1:19" ht="23.4" customHeight="1" x14ac:dyDescent="0.3">
      <c r="A5" s="10" t="s">
        <v>492</v>
      </c>
      <c r="B5" s="11"/>
      <c r="C5" s="90"/>
      <c r="D5" s="90"/>
      <c r="E5" s="84"/>
      <c r="F5" s="13" t="s">
        <v>12</v>
      </c>
      <c r="G5" s="12"/>
      <c r="H5" s="12"/>
      <c r="I5" s="67" t="s">
        <v>8</v>
      </c>
      <c r="J5" s="12"/>
      <c r="K5" s="13" t="s">
        <v>13</v>
      </c>
      <c r="L5" s="12"/>
      <c r="M5" s="12"/>
      <c r="N5" s="12"/>
      <c r="O5" s="13" t="s">
        <v>14</v>
      </c>
      <c r="P5" s="12"/>
      <c r="Q5" s="12"/>
      <c r="R5" s="13" t="s">
        <v>15</v>
      </c>
      <c r="S5" s="14"/>
    </row>
    <row r="6" spans="1:19" ht="23.4" customHeight="1" x14ac:dyDescent="0.3">
      <c r="A6" s="10" t="s">
        <v>491</v>
      </c>
      <c r="B6" s="11"/>
      <c r="C6" s="90"/>
      <c r="D6" s="90"/>
      <c r="E6" s="84"/>
      <c r="F6" s="13" t="s">
        <v>16</v>
      </c>
      <c r="G6" s="12"/>
      <c r="H6" s="12"/>
      <c r="I6" s="68" t="s">
        <v>17</v>
      </c>
      <c r="J6" s="12"/>
      <c r="K6" s="13" t="s">
        <v>18</v>
      </c>
      <c r="L6" s="12"/>
      <c r="M6" s="12"/>
      <c r="N6" s="12"/>
      <c r="O6" s="13" t="s">
        <v>19</v>
      </c>
      <c r="P6" s="12"/>
      <c r="Q6" s="12"/>
      <c r="R6" s="13" t="s">
        <v>20</v>
      </c>
      <c r="S6" s="14"/>
    </row>
    <row r="7" spans="1:19" ht="23.4" customHeight="1" x14ac:dyDescent="0.3">
      <c r="A7" s="10" t="s">
        <v>490</v>
      </c>
      <c r="B7" s="11"/>
      <c r="C7" s="90"/>
      <c r="D7" s="90"/>
      <c r="E7" s="84"/>
      <c r="F7" s="13" t="s">
        <v>21</v>
      </c>
      <c r="G7" s="12"/>
      <c r="H7" s="12"/>
      <c r="I7" s="67" t="s">
        <v>8</v>
      </c>
      <c r="J7" s="12"/>
      <c r="K7" s="13" t="s">
        <v>22</v>
      </c>
      <c r="L7" s="12"/>
      <c r="M7" s="12"/>
      <c r="N7" s="12"/>
      <c r="O7" s="13" t="s">
        <v>23</v>
      </c>
      <c r="P7" s="12"/>
      <c r="Q7" s="12"/>
      <c r="R7" s="13" t="s">
        <v>24</v>
      </c>
      <c r="S7" s="14"/>
    </row>
    <row r="8" spans="1:19" ht="23.4" customHeight="1" x14ac:dyDescent="0.3">
      <c r="A8" s="10" t="s">
        <v>489</v>
      </c>
      <c r="B8" s="11"/>
      <c r="C8" s="90"/>
      <c r="D8" s="90"/>
      <c r="E8" s="84"/>
      <c r="F8" s="13" t="s">
        <v>25</v>
      </c>
      <c r="G8" s="12"/>
      <c r="H8" s="12"/>
      <c r="I8" s="67" t="s">
        <v>8</v>
      </c>
      <c r="J8" s="12"/>
      <c r="K8" s="13" t="s">
        <v>26</v>
      </c>
      <c r="L8" s="12"/>
      <c r="M8" s="12"/>
      <c r="N8" s="12"/>
      <c r="O8" s="13" t="s">
        <v>27</v>
      </c>
      <c r="P8" s="12"/>
      <c r="Q8" s="12"/>
      <c r="R8" s="13" t="s">
        <v>28</v>
      </c>
      <c r="S8" s="14"/>
    </row>
    <row r="9" spans="1:19" ht="23.4" customHeight="1" x14ac:dyDescent="0.3">
      <c r="A9" s="10" t="s">
        <v>488</v>
      </c>
      <c r="B9" s="11"/>
      <c r="C9" s="90"/>
      <c r="D9" s="90"/>
      <c r="E9" s="84"/>
      <c r="F9" s="13" t="s">
        <v>29</v>
      </c>
      <c r="G9" s="12"/>
      <c r="H9" s="12"/>
      <c r="I9" s="67" t="s">
        <v>8</v>
      </c>
      <c r="J9" s="12"/>
      <c r="K9" s="13" t="s">
        <v>30</v>
      </c>
      <c r="L9" s="12"/>
      <c r="M9" s="12"/>
      <c r="N9" s="12"/>
      <c r="O9" s="13" t="s">
        <v>31</v>
      </c>
      <c r="P9" s="12"/>
      <c r="Q9" s="12"/>
      <c r="R9" s="13" t="s">
        <v>32</v>
      </c>
      <c r="S9" s="14"/>
    </row>
    <row r="10" spans="1:19" ht="23.4" customHeight="1" x14ac:dyDescent="0.3">
      <c r="A10" s="10" t="s">
        <v>33</v>
      </c>
      <c r="B10" s="11"/>
      <c r="C10" s="91" t="s">
        <v>521</v>
      </c>
      <c r="D10" s="90"/>
      <c r="E10" s="85" t="s">
        <v>522</v>
      </c>
      <c r="F10" s="13" t="s">
        <v>34</v>
      </c>
      <c r="G10" s="12"/>
      <c r="H10" s="13" t="s">
        <v>35</v>
      </c>
      <c r="I10" s="68" t="s">
        <v>36</v>
      </c>
      <c r="J10" s="12"/>
      <c r="K10" s="13" t="s">
        <v>37</v>
      </c>
      <c r="L10" s="13" t="s">
        <v>38</v>
      </c>
      <c r="M10" s="12"/>
      <c r="N10" s="12"/>
      <c r="O10" s="13" t="s">
        <v>39</v>
      </c>
      <c r="P10" s="12"/>
      <c r="Q10" s="12"/>
      <c r="R10" s="13" t="s">
        <v>40</v>
      </c>
      <c r="S10" s="15" t="s">
        <v>41</v>
      </c>
    </row>
    <row r="11" spans="1:19" ht="23.4" customHeight="1" x14ac:dyDescent="0.3">
      <c r="A11" s="10" t="s">
        <v>487</v>
      </c>
      <c r="B11" s="11"/>
      <c r="C11" s="91" t="s">
        <v>716</v>
      </c>
      <c r="D11" s="90"/>
      <c r="E11" s="85" t="s">
        <v>697</v>
      </c>
      <c r="F11" s="13" t="s">
        <v>42</v>
      </c>
      <c r="G11" s="12"/>
      <c r="H11" s="13" t="s">
        <v>43</v>
      </c>
      <c r="I11" s="67" t="s">
        <v>8</v>
      </c>
      <c r="J11" s="12"/>
      <c r="K11" s="13" t="s">
        <v>44</v>
      </c>
      <c r="L11" s="13" t="s">
        <v>45</v>
      </c>
      <c r="M11" s="12"/>
      <c r="N11" s="12"/>
      <c r="O11" s="13" t="s">
        <v>46</v>
      </c>
      <c r="P11" s="12"/>
      <c r="Q11" s="12"/>
      <c r="R11" s="13" t="s">
        <v>47</v>
      </c>
      <c r="S11" s="15" t="s">
        <v>48</v>
      </c>
    </row>
    <row r="12" spans="1:19" ht="23.4" customHeight="1" x14ac:dyDescent="0.3">
      <c r="A12" s="10" t="s">
        <v>49</v>
      </c>
      <c r="B12" s="11"/>
      <c r="C12" s="91" t="s">
        <v>717</v>
      </c>
      <c r="D12" s="90"/>
      <c r="E12" s="85" t="s">
        <v>698</v>
      </c>
      <c r="F12" s="13" t="s">
        <v>50</v>
      </c>
      <c r="G12" s="12"/>
      <c r="H12" s="13" t="s">
        <v>51</v>
      </c>
      <c r="I12" s="67" t="s">
        <v>8</v>
      </c>
      <c r="J12" s="12"/>
      <c r="K12" s="13" t="s">
        <v>52</v>
      </c>
      <c r="L12" s="13" t="s">
        <v>53</v>
      </c>
      <c r="M12" s="12"/>
      <c r="N12" s="12"/>
      <c r="O12" s="13" t="s">
        <v>54</v>
      </c>
      <c r="P12" s="12"/>
      <c r="Q12" s="12"/>
      <c r="R12" s="13" t="s">
        <v>55</v>
      </c>
      <c r="S12" s="15" t="s">
        <v>56</v>
      </c>
    </row>
    <row r="13" spans="1:19" ht="23.4" customHeight="1" x14ac:dyDescent="0.3">
      <c r="A13" s="10" t="s">
        <v>57</v>
      </c>
      <c r="B13" s="11"/>
      <c r="C13" s="91" t="s">
        <v>718</v>
      </c>
      <c r="D13" s="90"/>
      <c r="E13" s="85" t="s">
        <v>699</v>
      </c>
      <c r="F13" s="13" t="s">
        <v>58</v>
      </c>
      <c r="G13" s="12"/>
      <c r="H13" s="13" t="s">
        <v>59</v>
      </c>
      <c r="I13" s="67" t="s">
        <v>8</v>
      </c>
      <c r="J13" s="12"/>
      <c r="K13" s="13" t="s">
        <v>60</v>
      </c>
      <c r="L13" s="13" t="s">
        <v>61</v>
      </c>
      <c r="M13" s="12"/>
      <c r="N13" s="12"/>
      <c r="O13" s="13" t="s">
        <v>62</v>
      </c>
      <c r="P13" s="12"/>
      <c r="Q13" s="12"/>
      <c r="R13" s="13" t="s">
        <v>63</v>
      </c>
      <c r="S13" s="15" t="s">
        <v>64</v>
      </c>
    </row>
    <row r="14" spans="1:19" ht="23.4" customHeight="1" x14ac:dyDescent="0.3">
      <c r="A14" s="10" t="s">
        <v>65</v>
      </c>
      <c r="B14" s="46">
        <v>0.24097222222222223</v>
      </c>
      <c r="C14" s="91" t="s">
        <v>698</v>
      </c>
      <c r="D14" s="92" t="s">
        <v>700</v>
      </c>
      <c r="E14" s="85" t="s">
        <v>700</v>
      </c>
      <c r="F14" s="13" t="s">
        <v>66</v>
      </c>
      <c r="G14" s="13" t="s">
        <v>35</v>
      </c>
      <c r="H14" s="13" t="s">
        <v>67</v>
      </c>
      <c r="I14" s="68" t="s">
        <v>68</v>
      </c>
      <c r="J14" s="17" t="s">
        <v>69</v>
      </c>
      <c r="K14" s="13" t="s">
        <v>70</v>
      </c>
      <c r="L14" s="13" t="s">
        <v>71</v>
      </c>
      <c r="M14" s="13" t="s">
        <v>72</v>
      </c>
      <c r="N14" s="13" t="s">
        <v>73</v>
      </c>
      <c r="O14" s="13" t="s">
        <v>74</v>
      </c>
      <c r="P14" s="13" t="s">
        <v>75</v>
      </c>
      <c r="Q14" s="13" t="s">
        <v>76</v>
      </c>
      <c r="R14" s="13" t="s">
        <v>77</v>
      </c>
      <c r="S14" s="15" t="s">
        <v>78</v>
      </c>
    </row>
    <row r="15" spans="1:19" ht="23.4" customHeight="1" x14ac:dyDescent="0.3">
      <c r="A15" s="10" t="s">
        <v>79</v>
      </c>
      <c r="B15" s="16" t="s">
        <v>80</v>
      </c>
      <c r="C15" s="93" t="s">
        <v>719</v>
      </c>
      <c r="D15" s="92" t="s">
        <v>701</v>
      </c>
      <c r="E15" s="85" t="s">
        <v>701</v>
      </c>
      <c r="F15" s="18" t="s">
        <v>8</v>
      </c>
      <c r="G15" s="13" t="s">
        <v>81</v>
      </c>
      <c r="H15" s="13" t="s">
        <v>82</v>
      </c>
      <c r="I15" s="67" t="s">
        <v>8</v>
      </c>
      <c r="J15" s="17" t="s">
        <v>83</v>
      </c>
      <c r="K15" s="18" t="s">
        <v>8</v>
      </c>
      <c r="L15" s="13" t="s">
        <v>84</v>
      </c>
      <c r="M15" s="13" t="s">
        <v>85</v>
      </c>
      <c r="N15" s="13" t="s">
        <v>86</v>
      </c>
      <c r="O15" s="18" t="s">
        <v>8</v>
      </c>
      <c r="P15" s="13" t="s">
        <v>87</v>
      </c>
      <c r="Q15" s="13" t="s">
        <v>88</v>
      </c>
      <c r="R15" s="18" t="s">
        <v>8</v>
      </c>
      <c r="S15" s="15" t="s">
        <v>89</v>
      </c>
    </row>
    <row r="16" spans="1:19" ht="23.4" customHeight="1" x14ac:dyDescent="0.3">
      <c r="A16" s="10" t="s">
        <v>90</v>
      </c>
      <c r="B16" s="16" t="s">
        <v>91</v>
      </c>
      <c r="C16" s="93" t="s">
        <v>719</v>
      </c>
      <c r="D16" s="92" t="s">
        <v>702</v>
      </c>
      <c r="E16" s="85" t="s">
        <v>702</v>
      </c>
      <c r="F16" s="18" t="s">
        <v>8</v>
      </c>
      <c r="G16" s="13" t="s">
        <v>92</v>
      </c>
      <c r="H16" s="13" t="s">
        <v>93</v>
      </c>
      <c r="I16" s="67" t="s">
        <v>8</v>
      </c>
      <c r="J16" s="17" t="s">
        <v>94</v>
      </c>
      <c r="K16" s="18" t="s">
        <v>8</v>
      </c>
      <c r="L16" s="13" t="s">
        <v>95</v>
      </c>
      <c r="M16" s="13" t="s">
        <v>96</v>
      </c>
      <c r="N16" s="13" t="s">
        <v>19</v>
      </c>
      <c r="O16" s="18" t="s">
        <v>8</v>
      </c>
      <c r="P16" s="13" t="s">
        <v>97</v>
      </c>
      <c r="Q16" s="13" t="s">
        <v>98</v>
      </c>
      <c r="R16" s="18" t="s">
        <v>8</v>
      </c>
      <c r="S16" s="15" t="s">
        <v>99</v>
      </c>
    </row>
    <row r="17" spans="1:19" ht="23.4" customHeight="1" x14ac:dyDescent="0.3">
      <c r="A17" s="10" t="s">
        <v>100</v>
      </c>
      <c r="B17" s="16" t="s">
        <v>101</v>
      </c>
      <c r="C17" s="91" t="s">
        <v>700</v>
      </c>
      <c r="D17" s="92" t="s">
        <v>703</v>
      </c>
      <c r="E17" s="85" t="s">
        <v>703</v>
      </c>
      <c r="F17" s="13" t="s">
        <v>35</v>
      </c>
      <c r="G17" s="13" t="s">
        <v>51</v>
      </c>
      <c r="H17" s="13" t="s">
        <v>102</v>
      </c>
      <c r="I17" s="68" t="s">
        <v>103</v>
      </c>
      <c r="J17" s="17" t="s">
        <v>104</v>
      </c>
      <c r="K17" s="13" t="s">
        <v>53</v>
      </c>
      <c r="L17" s="13" t="s">
        <v>105</v>
      </c>
      <c r="M17" s="13" t="s">
        <v>106</v>
      </c>
      <c r="N17" s="13" t="s">
        <v>107</v>
      </c>
      <c r="O17" s="13" t="s">
        <v>108</v>
      </c>
      <c r="P17" s="13" t="s">
        <v>109</v>
      </c>
      <c r="Q17" s="13" t="s">
        <v>110</v>
      </c>
      <c r="R17" s="13" t="s">
        <v>111</v>
      </c>
      <c r="S17" s="15" t="s">
        <v>112</v>
      </c>
    </row>
    <row r="18" spans="1:19" ht="23.4" customHeight="1" x14ac:dyDescent="0.3">
      <c r="A18" s="10" t="s">
        <v>113</v>
      </c>
      <c r="B18" s="16" t="s">
        <v>114</v>
      </c>
      <c r="C18" s="93" t="s">
        <v>719</v>
      </c>
      <c r="D18" s="92" t="s">
        <v>704</v>
      </c>
      <c r="E18" s="85" t="s">
        <v>704</v>
      </c>
      <c r="F18" s="18" t="s">
        <v>8</v>
      </c>
      <c r="G18" s="13" t="s">
        <v>115</v>
      </c>
      <c r="H18" s="13" t="s">
        <v>116</v>
      </c>
      <c r="I18" s="67" t="s">
        <v>8</v>
      </c>
      <c r="J18" s="17" t="s">
        <v>117</v>
      </c>
      <c r="K18" s="18" t="s">
        <v>8</v>
      </c>
      <c r="L18" s="13" t="s">
        <v>118</v>
      </c>
      <c r="M18" s="13" t="s">
        <v>119</v>
      </c>
      <c r="N18" s="13" t="s">
        <v>27</v>
      </c>
      <c r="O18" s="18" t="s">
        <v>8</v>
      </c>
      <c r="P18" s="13" t="s">
        <v>120</v>
      </c>
      <c r="Q18" s="13" t="s">
        <v>40</v>
      </c>
      <c r="R18" s="18" t="s">
        <v>8</v>
      </c>
      <c r="S18" s="15" t="s">
        <v>121</v>
      </c>
    </row>
    <row r="19" spans="1:19" ht="23.4" customHeight="1" x14ac:dyDescent="0.3">
      <c r="A19" s="10" t="s">
        <v>122</v>
      </c>
      <c r="B19" s="16" t="s">
        <v>123</v>
      </c>
      <c r="C19" s="93" t="s">
        <v>719</v>
      </c>
      <c r="D19" s="92" t="s">
        <v>705</v>
      </c>
      <c r="E19" s="85" t="s">
        <v>705</v>
      </c>
      <c r="F19" s="18" t="s">
        <v>8</v>
      </c>
      <c r="G19" s="13" t="s">
        <v>124</v>
      </c>
      <c r="H19" s="13" t="s">
        <v>125</v>
      </c>
      <c r="I19" s="67" t="s">
        <v>8</v>
      </c>
      <c r="J19" s="17" t="s">
        <v>126</v>
      </c>
      <c r="K19" s="18" t="s">
        <v>8</v>
      </c>
      <c r="L19" s="13" t="s">
        <v>127</v>
      </c>
      <c r="M19" s="13" t="s">
        <v>128</v>
      </c>
      <c r="N19" s="13" t="s">
        <v>129</v>
      </c>
      <c r="O19" s="18" t="s">
        <v>8</v>
      </c>
      <c r="P19" s="13" t="s">
        <v>130</v>
      </c>
      <c r="Q19" s="13" t="s">
        <v>131</v>
      </c>
      <c r="R19" s="18" t="s">
        <v>8</v>
      </c>
      <c r="S19" s="15" t="s">
        <v>132</v>
      </c>
    </row>
    <row r="20" spans="1:19" ht="23.4" customHeight="1" x14ac:dyDescent="0.3">
      <c r="A20" s="10" t="s">
        <v>133</v>
      </c>
      <c r="B20" s="16" t="s">
        <v>134</v>
      </c>
      <c r="C20" s="91" t="s">
        <v>701</v>
      </c>
      <c r="D20" s="92" t="s">
        <v>706</v>
      </c>
      <c r="E20" s="85" t="s">
        <v>706</v>
      </c>
      <c r="F20" s="13" t="s">
        <v>81</v>
      </c>
      <c r="G20" s="13" t="s">
        <v>135</v>
      </c>
      <c r="H20" s="13" t="s">
        <v>136</v>
      </c>
      <c r="I20" s="67" t="s">
        <v>8</v>
      </c>
      <c r="J20" s="17" t="s">
        <v>137</v>
      </c>
      <c r="K20" s="13" t="s">
        <v>138</v>
      </c>
      <c r="L20" s="13" t="s">
        <v>139</v>
      </c>
      <c r="M20" s="13" t="s">
        <v>140</v>
      </c>
      <c r="N20" s="13" t="s">
        <v>141</v>
      </c>
      <c r="O20" s="13" t="s">
        <v>142</v>
      </c>
      <c r="P20" s="13" t="s">
        <v>143</v>
      </c>
      <c r="Q20" s="13" t="s">
        <v>144</v>
      </c>
      <c r="R20" s="13" t="s">
        <v>145</v>
      </c>
      <c r="S20" s="15" t="s">
        <v>146</v>
      </c>
    </row>
    <row r="21" spans="1:19" ht="23.4" customHeight="1" x14ac:dyDescent="0.3">
      <c r="A21" s="10" t="s">
        <v>147</v>
      </c>
      <c r="B21" s="16" t="s">
        <v>148</v>
      </c>
      <c r="C21" s="93" t="s">
        <v>719</v>
      </c>
      <c r="D21" s="92" t="s">
        <v>707</v>
      </c>
      <c r="E21" s="85" t="s">
        <v>707</v>
      </c>
      <c r="F21" s="18" t="s">
        <v>8</v>
      </c>
      <c r="G21" s="13" t="s">
        <v>149</v>
      </c>
      <c r="H21" s="13" t="s">
        <v>150</v>
      </c>
      <c r="I21" s="67" t="s">
        <v>8</v>
      </c>
      <c r="J21" s="17" t="s">
        <v>151</v>
      </c>
      <c r="K21" s="18" t="s">
        <v>8</v>
      </c>
      <c r="L21" s="13" t="s">
        <v>152</v>
      </c>
      <c r="M21" s="13" t="s">
        <v>153</v>
      </c>
      <c r="N21" s="13" t="s">
        <v>39</v>
      </c>
      <c r="O21" s="18" t="s">
        <v>8</v>
      </c>
      <c r="P21" s="13" t="s">
        <v>154</v>
      </c>
      <c r="Q21" s="13" t="s">
        <v>155</v>
      </c>
      <c r="R21" s="18" t="s">
        <v>8</v>
      </c>
      <c r="S21" s="15" t="s">
        <v>156</v>
      </c>
    </row>
    <row r="22" spans="1:19" ht="23.4" customHeight="1" x14ac:dyDescent="0.3">
      <c r="A22" s="10" t="s">
        <v>157</v>
      </c>
      <c r="B22" s="16" t="s">
        <v>158</v>
      </c>
      <c r="C22" s="91" t="s">
        <v>720</v>
      </c>
      <c r="D22" s="92" t="s">
        <v>708</v>
      </c>
      <c r="E22" s="85" t="s">
        <v>708</v>
      </c>
      <c r="F22" s="13" t="s">
        <v>159</v>
      </c>
      <c r="G22" s="13" t="s">
        <v>67</v>
      </c>
      <c r="H22" s="13" t="s">
        <v>160</v>
      </c>
      <c r="I22" s="69" t="s">
        <v>161</v>
      </c>
      <c r="J22" s="17" t="s">
        <v>162</v>
      </c>
      <c r="K22" s="13" t="s">
        <v>163</v>
      </c>
      <c r="L22" s="13" t="s">
        <v>164</v>
      </c>
      <c r="M22" s="13" t="s">
        <v>165</v>
      </c>
      <c r="N22" s="13" t="s">
        <v>166</v>
      </c>
      <c r="O22" s="13" t="s">
        <v>167</v>
      </c>
      <c r="P22" s="13" t="s">
        <v>168</v>
      </c>
      <c r="Q22" s="13" t="s">
        <v>169</v>
      </c>
      <c r="R22" s="13" t="s">
        <v>170</v>
      </c>
      <c r="S22" s="15" t="s">
        <v>171</v>
      </c>
    </row>
    <row r="23" spans="1:19" ht="23.4" customHeight="1" x14ac:dyDescent="0.3">
      <c r="A23" s="10" t="s">
        <v>172</v>
      </c>
      <c r="B23" s="16" t="s">
        <v>173</v>
      </c>
      <c r="C23" s="93" t="s">
        <v>719</v>
      </c>
      <c r="D23" s="92" t="s">
        <v>709</v>
      </c>
      <c r="E23" s="85" t="s">
        <v>709</v>
      </c>
      <c r="F23" s="18" t="s">
        <v>8</v>
      </c>
      <c r="G23" s="13" t="s">
        <v>174</v>
      </c>
      <c r="H23" s="13" t="s">
        <v>175</v>
      </c>
      <c r="I23" s="67" t="s">
        <v>8</v>
      </c>
      <c r="J23" s="17" t="s">
        <v>176</v>
      </c>
      <c r="K23" s="18" t="s">
        <v>8</v>
      </c>
      <c r="L23" s="13" t="s">
        <v>177</v>
      </c>
      <c r="M23" s="13" t="s">
        <v>178</v>
      </c>
      <c r="N23" s="13" t="s">
        <v>179</v>
      </c>
      <c r="O23" s="18" t="s">
        <v>8</v>
      </c>
      <c r="P23" s="13" t="s">
        <v>180</v>
      </c>
      <c r="Q23" s="13" t="s">
        <v>181</v>
      </c>
      <c r="R23" s="18" t="s">
        <v>8</v>
      </c>
      <c r="S23" s="15" t="s">
        <v>182</v>
      </c>
    </row>
    <row r="24" spans="1:19" ht="23.4" customHeight="1" x14ac:dyDescent="0.3">
      <c r="A24" s="10" t="s">
        <v>183</v>
      </c>
      <c r="B24" s="16" t="s">
        <v>184</v>
      </c>
      <c r="C24" s="93" t="s">
        <v>719</v>
      </c>
      <c r="D24" s="92" t="s">
        <v>710</v>
      </c>
      <c r="E24" s="85" t="s">
        <v>710</v>
      </c>
      <c r="F24" s="18" t="s">
        <v>8</v>
      </c>
      <c r="G24" s="13" t="s">
        <v>185</v>
      </c>
      <c r="H24" s="13" t="s">
        <v>186</v>
      </c>
      <c r="I24" s="67" t="s">
        <v>8</v>
      </c>
      <c r="J24" s="17" t="s">
        <v>187</v>
      </c>
      <c r="K24" s="18" t="s">
        <v>8</v>
      </c>
      <c r="L24" s="13" t="s">
        <v>188</v>
      </c>
      <c r="M24" s="13" t="s">
        <v>189</v>
      </c>
      <c r="N24" s="13" t="s">
        <v>190</v>
      </c>
      <c r="O24" s="18" t="s">
        <v>8</v>
      </c>
      <c r="P24" s="13" t="s">
        <v>191</v>
      </c>
      <c r="Q24" s="13" t="s">
        <v>192</v>
      </c>
      <c r="R24" s="18" t="s">
        <v>8</v>
      </c>
      <c r="S24" s="15" t="s">
        <v>193</v>
      </c>
    </row>
    <row r="25" spans="1:19" ht="23.4" customHeight="1" x14ac:dyDescent="0.3">
      <c r="A25" s="10" t="s">
        <v>194</v>
      </c>
      <c r="B25" s="16" t="s">
        <v>195</v>
      </c>
      <c r="C25" s="91" t="s">
        <v>704</v>
      </c>
      <c r="D25" s="92" t="s">
        <v>711</v>
      </c>
      <c r="E25" s="85" t="s">
        <v>711</v>
      </c>
      <c r="F25" s="13" t="s">
        <v>196</v>
      </c>
      <c r="G25" s="13" t="s">
        <v>93</v>
      </c>
      <c r="H25" s="13" t="s">
        <v>197</v>
      </c>
      <c r="I25" s="69" t="s">
        <v>198</v>
      </c>
      <c r="J25" s="17" t="s">
        <v>4</v>
      </c>
      <c r="K25" s="13" t="s">
        <v>199</v>
      </c>
      <c r="L25" s="13" t="s">
        <v>200</v>
      </c>
      <c r="M25" s="13" t="s">
        <v>10</v>
      </c>
      <c r="N25" s="13" t="s">
        <v>201</v>
      </c>
      <c r="O25" s="13" t="s">
        <v>202</v>
      </c>
      <c r="P25" s="13" t="s">
        <v>203</v>
      </c>
      <c r="Q25" s="13" t="s">
        <v>204</v>
      </c>
      <c r="R25" s="13" t="s">
        <v>205</v>
      </c>
      <c r="S25" s="15" t="s">
        <v>206</v>
      </c>
    </row>
    <row r="26" spans="1:19" ht="23.4" customHeight="1" x14ac:dyDescent="0.3">
      <c r="A26" s="10" t="s">
        <v>207</v>
      </c>
      <c r="B26" s="16" t="s">
        <v>208</v>
      </c>
      <c r="C26" s="91" t="s">
        <v>721</v>
      </c>
      <c r="D26" s="92" t="s">
        <v>712</v>
      </c>
      <c r="E26" s="85" t="s">
        <v>712</v>
      </c>
      <c r="F26" s="13" t="s">
        <v>209</v>
      </c>
      <c r="G26" s="13" t="s">
        <v>210</v>
      </c>
      <c r="H26" s="13" t="s">
        <v>211</v>
      </c>
      <c r="I26" s="69" t="s">
        <v>212</v>
      </c>
      <c r="J26" s="17" t="s">
        <v>213</v>
      </c>
      <c r="K26" s="13" t="s">
        <v>214</v>
      </c>
      <c r="L26" s="13" t="s">
        <v>215</v>
      </c>
      <c r="M26" s="13" t="s">
        <v>14</v>
      </c>
      <c r="N26" s="13" t="s">
        <v>216</v>
      </c>
      <c r="O26" s="13" t="s">
        <v>217</v>
      </c>
      <c r="P26" s="13" t="s">
        <v>218</v>
      </c>
      <c r="Q26" s="13" t="s">
        <v>219</v>
      </c>
      <c r="R26" s="13" t="s">
        <v>220</v>
      </c>
      <c r="S26" s="15" t="s">
        <v>221</v>
      </c>
    </row>
    <row r="27" spans="1:19" ht="24.3" customHeight="1" x14ac:dyDescent="0.3">
      <c r="A27" s="19" t="s">
        <v>222</v>
      </c>
      <c r="B27" s="20" t="s">
        <v>223</v>
      </c>
      <c r="C27" s="94" t="s">
        <v>722</v>
      </c>
      <c r="D27" s="95" t="s">
        <v>713</v>
      </c>
      <c r="E27" s="86" t="s">
        <v>713</v>
      </c>
      <c r="F27" s="21" t="s">
        <v>224</v>
      </c>
      <c r="G27" s="21" t="s">
        <v>225</v>
      </c>
      <c r="H27" s="21" t="s">
        <v>226</v>
      </c>
      <c r="I27" s="70" t="s">
        <v>227</v>
      </c>
      <c r="J27" s="22" t="s">
        <v>228</v>
      </c>
      <c r="K27" s="21" t="s">
        <v>229</v>
      </c>
      <c r="L27" s="21" t="s">
        <v>230</v>
      </c>
      <c r="M27" s="21" t="s">
        <v>231</v>
      </c>
      <c r="N27" s="21" t="s">
        <v>232</v>
      </c>
      <c r="O27" s="21" t="s">
        <v>233</v>
      </c>
      <c r="P27" s="21" t="s">
        <v>234</v>
      </c>
      <c r="Q27" s="21" t="s">
        <v>235</v>
      </c>
      <c r="R27" s="21" t="s">
        <v>236</v>
      </c>
      <c r="S27" s="23" t="s">
        <v>237</v>
      </c>
    </row>
  </sheetData>
  <mergeCells count="1">
    <mergeCell ref="A1:S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37"/>
  <sheetViews>
    <sheetView topLeftCell="A7" zoomScale="50" zoomScaleNormal="50" workbookViewId="0">
      <selection activeCell="W25" sqref="W25"/>
    </sheetView>
  </sheetViews>
  <sheetFormatPr defaultRowHeight="14.4" x14ac:dyDescent="0.3"/>
  <cols>
    <col min="1" max="1" width="29.33203125" customWidth="1"/>
    <col min="2" max="2" width="13.77734375" customWidth="1"/>
    <col min="3" max="3" width="13" customWidth="1"/>
    <col min="4" max="4" width="15.44140625" customWidth="1"/>
    <col min="5" max="14" width="13.5546875" customWidth="1"/>
    <col min="15" max="15" width="13.6640625" customWidth="1"/>
    <col min="16" max="17" width="13.5546875" customWidth="1"/>
    <col min="18" max="18" width="13.77734375" customWidth="1"/>
  </cols>
  <sheetData>
    <row r="1" spans="1:18" ht="29.55" customHeight="1" x14ac:dyDescent="0.3">
      <c r="A1" s="146" t="s">
        <v>238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</row>
    <row r="2" spans="1:18" ht="25.65" customHeight="1" x14ac:dyDescent="0.3">
      <c r="A2" s="24" t="s">
        <v>239</v>
      </c>
      <c r="B2" s="96" t="s">
        <v>723</v>
      </c>
      <c r="C2" s="25">
        <v>241</v>
      </c>
      <c r="D2" s="25">
        <v>263</v>
      </c>
      <c r="E2" s="25">
        <v>371</v>
      </c>
      <c r="F2" s="25">
        <v>243</v>
      </c>
      <c r="G2" s="25">
        <v>265</v>
      </c>
      <c r="H2" s="25">
        <v>267</v>
      </c>
      <c r="I2" s="25">
        <v>245</v>
      </c>
      <c r="J2" s="25">
        <v>269</v>
      </c>
      <c r="K2" s="25">
        <v>373</v>
      </c>
      <c r="L2" s="25">
        <v>271</v>
      </c>
      <c r="M2" s="25">
        <v>247</v>
      </c>
      <c r="N2" s="25">
        <v>273</v>
      </c>
      <c r="O2" s="25">
        <v>375</v>
      </c>
      <c r="P2" s="71">
        <v>41</v>
      </c>
      <c r="Q2" s="25">
        <v>275</v>
      </c>
      <c r="R2" s="26">
        <v>377</v>
      </c>
    </row>
    <row r="3" spans="1:18" ht="26.4" customHeight="1" x14ac:dyDescent="0.3">
      <c r="A3" s="27" t="s">
        <v>240</v>
      </c>
      <c r="B3" s="97" t="s">
        <v>697</v>
      </c>
      <c r="C3" s="28" t="s">
        <v>241</v>
      </c>
      <c r="D3" s="29" t="s">
        <v>242</v>
      </c>
      <c r="E3" s="28" t="s">
        <v>243</v>
      </c>
      <c r="F3" s="28" t="s">
        <v>244</v>
      </c>
      <c r="G3" s="28" t="s">
        <v>245</v>
      </c>
      <c r="H3" s="28" t="s">
        <v>246</v>
      </c>
      <c r="I3" s="28" t="s">
        <v>247</v>
      </c>
      <c r="J3" s="28" t="s">
        <v>248</v>
      </c>
      <c r="K3" s="28" t="s">
        <v>249</v>
      </c>
      <c r="L3" s="28" t="s">
        <v>250</v>
      </c>
      <c r="M3" s="28" t="s">
        <v>251</v>
      </c>
      <c r="N3" s="28" t="s">
        <v>252</v>
      </c>
      <c r="O3" s="28" t="s">
        <v>253</v>
      </c>
      <c r="P3" s="72" t="s">
        <v>734</v>
      </c>
      <c r="Q3" s="28" t="s">
        <v>254</v>
      </c>
      <c r="R3" s="30" t="s">
        <v>255</v>
      </c>
    </row>
    <row r="4" spans="1:18" ht="25.05" customHeight="1" x14ac:dyDescent="0.3">
      <c r="A4" s="31" t="s">
        <v>256</v>
      </c>
      <c r="B4" s="98" t="s">
        <v>698</v>
      </c>
      <c r="C4" s="32" t="s">
        <v>257</v>
      </c>
      <c r="D4" s="33" t="s">
        <v>258</v>
      </c>
      <c r="E4" s="32" t="s">
        <v>259</v>
      </c>
      <c r="F4" s="32" t="s">
        <v>260</v>
      </c>
      <c r="G4" s="32" t="s">
        <v>261</v>
      </c>
      <c r="H4" s="32" t="s">
        <v>262</v>
      </c>
      <c r="I4" s="32" t="s">
        <v>263</v>
      </c>
      <c r="J4" s="32" t="s">
        <v>264</v>
      </c>
      <c r="K4" s="32" t="s">
        <v>265</v>
      </c>
      <c r="L4" s="32" t="s">
        <v>266</v>
      </c>
      <c r="M4" s="32" t="s">
        <v>267</v>
      </c>
      <c r="N4" s="32" t="s">
        <v>268</v>
      </c>
      <c r="O4" s="32" t="s">
        <v>269</v>
      </c>
      <c r="P4" s="73" t="s">
        <v>735</v>
      </c>
      <c r="Q4" s="32" t="s">
        <v>270</v>
      </c>
      <c r="R4" s="34" t="s">
        <v>271</v>
      </c>
    </row>
    <row r="5" spans="1:18" ht="25.05" customHeight="1" x14ac:dyDescent="0.3">
      <c r="A5" s="31" t="s">
        <v>272</v>
      </c>
      <c r="B5" s="98" t="s">
        <v>724</v>
      </c>
      <c r="C5" s="32" t="s">
        <v>273</v>
      </c>
      <c r="D5" s="33" t="s">
        <v>274</v>
      </c>
      <c r="E5" s="32" t="s">
        <v>275</v>
      </c>
      <c r="F5" s="32" t="s">
        <v>276</v>
      </c>
      <c r="G5" s="32" t="s">
        <v>277</v>
      </c>
      <c r="H5" s="32" t="s">
        <v>278</v>
      </c>
      <c r="I5" s="32" t="s">
        <v>279</v>
      </c>
      <c r="J5" s="32" t="s">
        <v>280</v>
      </c>
      <c r="K5" s="32" t="s">
        <v>281</v>
      </c>
      <c r="L5" s="32" t="s">
        <v>282</v>
      </c>
      <c r="M5" s="32" t="s">
        <v>283</v>
      </c>
      <c r="N5" s="32" t="s">
        <v>284</v>
      </c>
      <c r="O5" s="32" t="s">
        <v>285</v>
      </c>
      <c r="P5" s="73" t="s">
        <v>736</v>
      </c>
      <c r="Q5" s="32" t="s">
        <v>287</v>
      </c>
      <c r="R5" s="34" t="s">
        <v>288</v>
      </c>
    </row>
    <row r="6" spans="1:18" ht="25.05" customHeight="1" x14ac:dyDescent="0.3">
      <c r="A6" s="31" t="s">
        <v>289</v>
      </c>
      <c r="B6" s="98" t="s">
        <v>725</v>
      </c>
      <c r="C6" s="35" t="s">
        <v>290</v>
      </c>
      <c r="D6" s="33" t="s">
        <v>291</v>
      </c>
      <c r="E6" s="32" t="s">
        <v>292</v>
      </c>
      <c r="F6" s="36" t="s">
        <v>290</v>
      </c>
      <c r="G6" s="32" t="s">
        <v>293</v>
      </c>
      <c r="H6" s="32" t="s">
        <v>294</v>
      </c>
      <c r="I6" s="35" t="s">
        <v>290</v>
      </c>
      <c r="J6" s="32" t="s">
        <v>295</v>
      </c>
      <c r="K6" s="32" t="s">
        <v>296</v>
      </c>
      <c r="L6" s="32" t="s">
        <v>297</v>
      </c>
      <c r="M6" s="35" t="s">
        <v>290</v>
      </c>
      <c r="N6" s="32" t="s">
        <v>298</v>
      </c>
      <c r="O6" s="32" t="s">
        <v>299</v>
      </c>
      <c r="P6" s="74" t="s">
        <v>719</v>
      </c>
      <c r="Q6" s="32" t="s">
        <v>300</v>
      </c>
      <c r="R6" s="34" t="s">
        <v>301</v>
      </c>
    </row>
    <row r="7" spans="1:18" ht="25.05" customHeight="1" x14ac:dyDescent="0.3">
      <c r="A7" s="31" t="s">
        <v>302</v>
      </c>
      <c r="B7" s="98" t="s">
        <v>726</v>
      </c>
      <c r="C7" s="35" t="s">
        <v>290</v>
      </c>
      <c r="D7" s="33" t="s">
        <v>303</v>
      </c>
      <c r="E7" s="32" t="s">
        <v>304</v>
      </c>
      <c r="F7" s="36" t="s">
        <v>290</v>
      </c>
      <c r="G7" s="32" t="s">
        <v>305</v>
      </c>
      <c r="H7" s="32" t="s">
        <v>306</v>
      </c>
      <c r="I7" s="35" t="s">
        <v>290</v>
      </c>
      <c r="J7" s="32" t="s">
        <v>307</v>
      </c>
      <c r="K7" s="32" t="s">
        <v>308</v>
      </c>
      <c r="L7" s="32" t="s">
        <v>309</v>
      </c>
      <c r="M7" s="35" t="s">
        <v>290</v>
      </c>
      <c r="N7" s="32" t="s">
        <v>310</v>
      </c>
      <c r="O7" s="32" t="s">
        <v>311</v>
      </c>
      <c r="P7" s="74" t="s">
        <v>719</v>
      </c>
      <c r="Q7" s="32" t="s">
        <v>312</v>
      </c>
      <c r="R7" s="34" t="s">
        <v>313</v>
      </c>
    </row>
    <row r="8" spans="1:18" ht="25.05" customHeight="1" x14ac:dyDescent="0.3">
      <c r="A8" s="31" t="s">
        <v>314</v>
      </c>
      <c r="B8" s="98" t="s">
        <v>727</v>
      </c>
      <c r="C8" s="32" t="s">
        <v>315</v>
      </c>
      <c r="D8" s="33" t="s">
        <v>316</v>
      </c>
      <c r="E8" s="32" t="s">
        <v>317</v>
      </c>
      <c r="F8" s="32" t="s">
        <v>318</v>
      </c>
      <c r="G8" s="32" t="s">
        <v>319</v>
      </c>
      <c r="H8" s="32" t="s">
        <v>320</v>
      </c>
      <c r="I8" s="32" t="s">
        <v>321</v>
      </c>
      <c r="J8" s="32" t="s">
        <v>322</v>
      </c>
      <c r="K8" s="32" t="s">
        <v>323</v>
      </c>
      <c r="L8" s="32" t="s">
        <v>324</v>
      </c>
      <c r="M8" s="32" t="s">
        <v>325</v>
      </c>
      <c r="N8" s="32" t="s">
        <v>326</v>
      </c>
      <c r="O8" s="32" t="s">
        <v>327</v>
      </c>
      <c r="P8" s="73" t="s">
        <v>737</v>
      </c>
      <c r="Q8" s="32" t="s">
        <v>328</v>
      </c>
      <c r="R8" s="34" t="s">
        <v>329</v>
      </c>
    </row>
    <row r="9" spans="1:18" ht="25.05" customHeight="1" x14ac:dyDescent="0.3">
      <c r="A9" s="31" t="s">
        <v>330</v>
      </c>
      <c r="B9" s="98" t="s">
        <v>728</v>
      </c>
      <c r="C9" s="35" t="s">
        <v>290</v>
      </c>
      <c r="D9" s="33" t="s">
        <v>331</v>
      </c>
      <c r="E9" s="32" t="s">
        <v>332</v>
      </c>
      <c r="F9" s="36" t="s">
        <v>290</v>
      </c>
      <c r="G9" s="32" t="s">
        <v>333</v>
      </c>
      <c r="H9" s="32" t="s">
        <v>334</v>
      </c>
      <c r="I9" s="35" t="s">
        <v>290</v>
      </c>
      <c r="J9" s="32" t="s">
        <v>335</v>
      </c>
      <c r="K9" s="32" t="s">
        <v>336</v>
      </c>
      <c r="L9" s="32" t="s">
        <v>337</v>
      </c>
      <c r="M9" s="35" t="s">
        <v>290</v>
      </c>
      <c r="N9" s="32" t="s">
        <v>338</v>
      </c>
      <c r="O9" s="32" t="s">
        <v>339</v>
      </c>
      <c r="P9" s="74" t="s">
        <v>719</v>
      </c>
      <c r="Q9" s="32" t="s">
        <v>340</v>
      </c>
      <c r="R9" s="34" t="s">
        <v>341</v>
      </c>
    </row>
    <row r="10" spans="1:18" ht="25.05" customHeight="1" x14ac:dyDescent="0.3">
      <c r="A10" s="31" t="s">
        <v>342</v>
      </c>
      <c r="B10" s="98" t="s">
        <v>729</v>
      </c>
      <c r="C10" s="32" t="s">
        <v>343</v>
      </c>
      <c r="D10" s="33" t="s">
        <v>344</v>
      </c>
      <c r="E10" s="32" t="s">
        <v>345</v>
      </c>
      <c r="F10" s="32" t="s">
        <v>346</v>
      </c>
      <c r="G10" s="32" t="s">
        <v>347</v>
      </c>
      <c r="H10" s="32" t="s">
        <v>348</v>
      </c>
      <c r="I10" s="32" t="s">
        <v>349</v>
      </c>
      <c r="J10" s="32" t="s">
        <v>350</v>
      </c>
      <c r="K10" s="32" t="s">
        <v>351</v>
      </c>
      <c r="L10" s="32" t="s">
        <v>352</v>
      </c>
      <c r="M10" s="32" t="s">
        <v>353</v>
      </c>
      <c r="N10" s="32" t="s">
        <v>354</v>
      </c>
      <c r="O10" s="32" t="s">
        <v>355</v>
      </c>
      <c r="P10" s="74" t="s">
        <v>719</v>
      </c>
      <c r="Q10" s="32" t="s">
        <v>356</v>
      </c>
      <c r="R10" s="34" t="s">
        <v>357</v>
      </c>
    </row>
    <row r="11" spans="1:18" ht="25.05" customHeight="1" x14ac:dyDescent="0.3">
      <c r="A11" s="31" t="s">
        <v>358</v>
      </c>
      <c r="B11" s="98" t="s">
        <v>730</v>
      </c>
      <c r="C11" s="35" t="s">
        <v>290</v>
      </c>
      <c r="D11" s="33" t="s">
        <v>359</v>
      </c>
      <c r="E11" s="32" t="s">
        <v>360</v>
      </c>
      <c r="F11" s="36" t="s">
        <v>290</v>
      </c>
      <c r="G11" s="32" t="s">
        <v>361</v>
      </c>
      <c r="H11" s="32" t="s">
        <v>362</v>
      </c>
      <c r="I11" s="35" t="s">
        <v>290</v>
      </c>
      <c r="J11" s="32" t="s">
        <v>363</v>
      </c>
      <c r="K11" s="32" t="s">
        <v>364</v>
      </c>
      <c r="L11" s="32" t="s">
        <v>365</v>
      </c>
      <c r="M11" s="35" t="s">
        <v>290</v>
      </c>
      <c r="N11" s="32" t="s">
        <v>366</v>
      </c>
      <c r="O11" s="32" t="s">
        <v>367</v>
      </c>
      <c r="P11" s="74" t="s">
        <v>719</v>
      </c>
      <c r="Q11" s="32" t="s">
        <v>368</v>
      </c>
      <c r="R11" s="34" t="s">
        <v>369</v>
      </c>
    </row>
    <row r="12" spans="1:18" ht="25.05" customHeight="1" x14ac:dyDescent="0.3">
      <c r="A12" s="31" t="s">
        <v>370</v>
      </c>
      <c r="B12" s="98" t="s">
        <v>720</v>
      </c>
      <c r="C12" s="35" t="s">
        <v>290</v>
      </c>
      <c r="D12" s="33" t="s">
        <v>371</v>
      </c>
      <c r="E12" s="32" t="s">
        <v>372</v>
      </c>
      <c r="F12" s="36" t="s">
        <v>290</v>
      </c>
      <c r="G12" s="32" t="s">
        <v>373</v>
      </c>
      <c r="H12" s="32" t="s">
        <v>374</v>
      </c>
      <c r="I12" s="35" t="s">
        <v>290</v>
      </c>
      <c r="J12" s="32" t="s">
        <v>375</v>
      </c>
      <c r="K12" s="32" t="s">
        <v>376</v>
      </c>
      <c r="L12" s="32" t="s">
        <v>377</v>
      </c>
      <c r="M12" s="35" t="s">
        <v>290</v>
      </c>
      <c r="N12" s="32" t="s">
        <v>378</v>
      </c>
      <c r="O12" s="32" t="s">
        <v>379</v>
      </c>
      <c r="P12" s="74" t="s">
        <v>719</v>
      </c>
      <c r="Q12" s="32" t="s">
        <v>380</v>
      </c>
      <c r="R12" s="34" t="s">
        <v>381</v>
      </c>
    </row>
    <row r="13" spans="1:18" ht="25.05" customHeight="1" x14ac:dyDescent="0.3">
      <c r="A13" s="31" t="s">
        <v>382</v>
      </c>
      <c r="B13" s="98" t="s">
        <v>731</v>
      </c>
      <c r="C13" s="32" t="s">
        <v>383</v>
      </c>
      <c r="D13" s="33" t="s">
        <v>384</v>
      </c>
      <c r="E13" s="32" t="s">
        <v>385</v>
      </c>
      <c r="F13" s="32" t="s">
        <v>386</v>
      </c>
      <c r="G13" s="32" t="s">
        <v>387</v>
      </c>
      <c r="H13" s="32" t="s">
        <v>388</v>
      </c>
      <c r="I13" s="32" t="s">
        <v>389</v>
      </c>
      <c r="J13" s="32" t="s">
        <v>390</v>
      </c>
      <c r="K13" s="32" t="s">
        <v>391</v>
      </c>
      <c r="L13" s="32" t="s">
        <v>392</v>
      </c>
      <c r="M13" s="32" t="s">
        <v>393</v>
      </c>
      <c r="N13" s="32" t="s">
        <v>394</v>
      </c>
      <c r="O13" s="32" t="s">
        <v>395</v>
      </c>
      <c r="P13" s="73" t="s">
        <v>738</v>
      </c>
      <c r="Q13" s="32" t="s">
        <v>396</v>
      </c>
      <c r="R13" s="34" t="s">
        <v>397</v>
      </c>
    </row>
    <row r="14" spans="1:18" ht="25.05" customHeight="1" x14ac:dyDescent="0.3">
      <c r="A14" s="31" t="s">
        <v>398</v>
      </c>
      <c r="B14" s="98" t="s">
        <v>705</v>
      </c>
      <c r="C14" s="35" t="s">
        <v>290</v>
      </c>
      <c r="D14" s="33" t="s">
        <v>399</v>
      </c>
      <c r="E14" s="32" t="s">
        <v>400</v>
      </c>
      <c r="F14" s="36" t="s">
        <v>290</v>
      </c>
      <c r="G14" s="32" t="s">
        <v>401</v>
      </c>
      <c r="H14" s="32" t="s">
        <v>402</v>
      </c>
      <c r="I14" s="35" t="s">
        <v>290</v>
      </c>
      <c r="J14" s="32" t="s">
        <v>403</v>
      </c>
      <c r="K14" s="32" t="s">
        <v>404</v>
      </c>
      <c r="L14" s="32" t="s">
        <v>405</v>
      </c>
      <c r="M14" s="35" t="s">
        <v>290</v>
      </c>
      <c r="N14" s="32" t="s">
        <v>406</v>
      </c>
      <c r="O14" s="32" t="s">
        <v>407</v>
      </c>
      <c r="P14" s="74" t="s">
        <v>719</v>
      </c>
      <c r="Q14" s="32" t="s">
        <v>408</v>
      </c>
      <c r="R14" s="34" t="s">
        <v>409</v>
      </c>
    </row>
    <row r="15" spans="1:18" ht="25.05" customHeight="1" x14ac:dyDescent="0.3">
      <c r="A15" s="31" t="s">
        <v>410</v>
      </c>
      <c r="B15" s="98" t="s">
        <v>732</v>
      </c>
      <c r="C15" s="35" t="s">
        <v>290</v>
      </c>
      <c r="D15" s="33" t="s">
        <v>411</v>
      </c>
      <c r="E15" s="32" t="s">
        <v>412</v>
      </c>
      <c r="F15" s="36" t="s">
        <v>290</v>
      </c>
      <c r="G15" s="32" t="s">
        <v>413</v>
      </c>
      <c r="H15" s="32" t="s">
        <v>414</v>
      </c>
      <c r="I15" s="35" t="s">
        <v>290</v>
      </c>
      <c r="J15" s="32" t="s">
        <v>415</v>
      </c>
      <c r="K15" s="32" t="s">
        <v>416</v>
      </c>
      <c r="L15" s="32" t="s">
        <v>417</v>
      </c>
      <c r="M15" s="35" t="s">
        <v>290</v>
      </c>
      <c r="N15" s="32" t="s">
        <v>418</v>
      </c>
      <c r="O15" s="32" t="s">
        <v>419</v>
      </c>
      <c r="P15" s="74" t="s">
        <v>719</v>
      </c>
      <c r="Q15" s="32" t="s">
        <v>420</v>
      </c>
      <c r="R15" s="34" t="s">
        <v>421</v>
      </c>
    </row>
    <row r="16" spans="1:18" ht="25.05" customHeight="1" x14ac:dyDescent="0.3">
      <c r="A16" s="31" t="s">
        <v>422</v>
      </c>
      <c r="B16" s="98" t="s">
        <v>733</v>
      </c>
      <c r="C16" s="32" t="s">
        <v>423</v>
      </c>
      <c r="D16" s="33" t="s">
        <v>424</v>
      </c>
      <c r="E16" s="32" t="s">
        <v>425</v>
      </c>
      <c r="F16" s="32" t="s">
        <v>426</v>
      </c>
      <c r="G16" s="32" t="s">
        <v>427</v>
      </c>
      <c r="H16" s="32" t="s">
        <v>428</v>
      </c>
      <c r="I16" s="32" t="s">
        <v>429</v>
      </c>
      <c r="J16" s="32" t="s">
        <v>430</v>
      </c>
      <c r="K16" s="32" t="s">
        <v>431</v>
      </c>
      <c r="L16" s="32" t="s">
        <v>432</v>
      </c>
      <c r="M16" s="32" t="s">
        <v>433</v>
      </c>
      <c r="N16" s="32" t="s">
        <v>434</v>
      </c>
      <c r="O16" s="32" t="s">
        <v>435</v>
      </c>
      <c r="P16" s="73" t="s">
        <v>739</v>
      </c>
      <c r="Q16" s="32" t="s">
        <v>436</v>
      </c>
      <c r="R16" s="34" t="s">
        <v>437</v>
      </c>
    </row>
    <row r="17" spans="1:18" ht="25.05" customHeight="1" x14ac:dyDescent="0.3">
      <c r="A17" s="31" t="s">
        <v>438</v>
      </c>
      <c r="B17" s="99"/>
      <c r="C17" s="32" t="s">
        <v>258</v>
      </c>
      <c r="D17" s="12"/>
      <c r="E17" s="32" t="s">
        <v>439</v>
      </c>
      <c r="F17" s="32" t="s">
        <v>440</v>
      </c>
      <c r="G17" s="12"/>
      <c r="H17" s="12"/>
      <c r="I17" s="32" t="s">
        <v>441</v>
      </c>
      <c r="J17" s="12"/>
      <c r="K17" s="32" t="s">
        <v>442</v>
      </c>
      <c r="L17" s="12"/>
      <c r="M17" s="32" t="s">
        <v>298</v>
      </c>
      <c r="N17" s="12"/>
      <c r="O17" s="32" t="s">
        <v>443</v>
      </c>
      <c r="P17" s="74" t="s">
        <v>719</v>
      </c>
      <c r="Q17" s="12"/>
      <c r="R17" s="34" t="s">
        <v>444</v>
      </c>
    </row>
    <row r="18" spans="1:18" ht="25.05" customHeight="1" x14ac:dyDescent="0.3">
      <c r="A18" s="31" t="s">
        <v>445</v>
      </c>
      <c r="B18" s="99"/>
      <c r="C18" s="32" t="s">
        <v>446</v>
      </c>
      <c r="D18" s="12"/>
      <c r="E18" s="32" t="s">
        <v>447</v>
      </c>
      <c r="F18" s="32" t="s">
        <v>448</v>
      </c>
      <c r="G18" s="12"/>
      <c r="H18" s="12"/>
      <c r="I18" s="32" t="s">
        <v>264</v>
      </c>
      <c r="J18" s="12"/>
      <c r="K18" s="32" t="s">
        <v>377</v>
      </c>
      <c r="L18" s="12"/>
      <c r="M18" s="32" t="s">
        <v>449</v>
      </c>
      <c r="N18" s="12"/>
      <c r="O18" s="32" t="s">
        <v>286</v>
      </c>
      <c r="P18" s="74" t="s">
        <v>719</v>
      </c>
      <c r="Q18" s="12"/>
      <c r="R18" s="34" t="s">
        <v>450</v>
      </c>
    </row>
    <row r="19" spans="1:18" ht="25.05" customHeight="1" x14ac:dyDescent="0.3">
      <c r="A19" s="31" t="s">
        <v>487</v>
      </c>
      <c r="B19" s="99"/>
      <c r="C19" s="32" t="s">
        <v>451</v>
      </c>
      <c r="D19" s="12"/>
      <c r="E19" s="32" t="s">
        <v>452</v>
      </c>
      <c r="F19" s="32" t="s">
        <v>453</v>
      </c>
      <c r="G19" s="12"/>
      <c r="H19" s="12"/>
      <c r="I19" s="32" t="s">
        <v>454</v>
      </c>
      <c r="J19" s="12"/>
      <c r="K19" s="32" t="s">
        <v>455</v>
      </c>
      <c r="L19" s="12"/>
      <c r="M19" s="32" t="s">
        <v>354</v>
      </c>
      <c r="N19" s="12"/>
      <c r="O19" s="32" t="s">
        <v>456</v>
      </c>
      <c r="P19" s="74" t="s">
        <v>719</v>
      </c>
      <c r="Q19" s="12"/>
      <c r="R19" s="34" t="s">
        <v>457</v>
      </c>
    </row>
    <row r="20" spans="1:18" ht="25.05" customHeight="1" x14ac:dyDescent="0.3">
      <c r="A20" s="31" t="s">
        <v>458</v>
      </c>
      <c r="B20" s="99"/>
      <c r="C20" s="32" t="s">
        <v>459</v>
      </c>
      <c r="D20" s="12"/>
      <c r="E20" s="32" t="s">
        <v>460</v>
      </c>
      <c r="F20" s="32" t="s">
        <v>461</v>
      </c>
      <c r="G20" s="12"/>
      <c r="H20" s="12"/>
      <c r="I20" s="32" t="s">
        <v>335</v>
      </c>
      <c r="J20" s="12"/>
      <c r="K20" s="32" t="s">
        <v>462</v>
      </c>
      <c r="L20" s="12"/>
      <c r="M20" s="32" t="s">
        <v>463</v>
      </c>
      <c r="N20" s="12"/>
      <c r="O20" s="32" t="s">
        <v>464</v>
      </c>
      <c r="P20" s="73" t="s">
        <v>740</v>
      </c>
      <c r="Q20" s="12"/>
      <c r="R20" s="34" t="s">
        <v>465</v>
      </c>
    </row>
    <row r="21" spans="1:18" ht="25.05" customHeight="1" x14ac:dyDescent="0.3">
      <c r="A21" s="31" t="s">
        <v>488</v>
      </c>
      <c r="B21" s="99"/>
      <c r="C21" s="32" t="s">
        <v>384</v>
      </c>
      <c r="D21" s="12"/>
      <c r="E21" s="12"/>
      <c r="F21" s="32" t="s">
        <v>277</v>
      </c>
      <c r="G21" s="12"/>
      <c r="H21" s="12"/>
      <c r="I21" s="32" t="s">
        <v>350</v>
      </c>
      <c r="J21" s="12"/>
      <c r="K21" s="12"/>
      <c r="L21" s="12"/>
      <c r="M21" s="32" t="s">
        <v>466</v>
      </c>
      <c r="N21" s="12"/>
      <c r="O21" s="12"/>
      <c r="P21" s="74" t="s">
        <v>719</v>
      </c>
      <c r="Q21" s="12"/>
      <c r="R21" s="14"/>
    </row>
    <row r="22" spans="1:18" ht="25.05" customHeight="1" x14ac:dyDescent="0.3">
      <c r="A22" s="31" t="s">
        <v>489</v>
      </c>
      <c r="B22" s="99"/>
      <c r="C22" s="32" t="s">
        <v>399</v>
      </c>
      <c r="D22" s="12"/>
      <c r="E22" s="12"/>
      <c r="F22" s="32" t="s">
        <v>467</v>
      </c>
      <c r="G22" s="12"/>
      <c r="H22" s="12"/>
      <c r="I22" s="32" t="s">
        <v>375</v>
      </c>
      <c r="J22" s="12"/>
      <c r="K22" s="12"/>
      <c r="L22" s="12"/>
      <c r="M22" s="32" t="s">
        <v>468</v>
      </c>
      <c r="N22" s="12"/>
      <c r="O22" s="12"/>
      <c r="P22" s="74" t="s">
        <v>719</v>
      </c>
      <c r="Q22" s="12"/>
      <c r="R22" s="14"/>
    </row>
    <row r="23" spans="1:18" ht="25.05" customHeight="1" x14ac:dyDescent="0.3">
      <c r="A23" s="31" t="s">
        <v>490</v>
      </c>
      <c r="B23" s="99"/>
      <c r="C23" s="32" t="s">
        <v>411</v>
      </c>
      <c r="D23" s="12"/>
      <c r="E23" s="12"/>
      <c r="F23" s="32" t="s">
        <v>469</v>
      </c>
      <c r="G23" s="12"/>
      <c r="H23" s="12"/>
      <c r="I23" s="32" t="s">
        <v>390</v>
      </c>
      <c r="J23" s="12"/>
      <c r="K23" s="12"/>
      <c r="L23" s="12"/>
      <c r="M23" s="32" t="s">
        <v>434</v>
      </c>
      <c r="N23" s="12"/>
      <c r="O23" s="12"/>
      <c r="P23" s="74" t="s">
        <v>719</v>
      </c>
      <c r="Q23" s="12"/>
      <c r="R23" s="14"/>
    </row>
    <row r="24" spans="1:18" ht="25.05" customHeight="1" x14ac:dyDescent="0.3">
      <c r="A24" s="31" t="s">
        <v>470</v>
      </c>
      <c r="B24" s="99"/>
      <c r="C24" s="32" t="s">
        <v>471</v>
      </c>
      <c r="D24" s="12"/>
      <c r="E24" s="12"/>
      <c r="F24" s="32" t="s">
        <v>333</v>
      </c>
      <c r="G24" s="12"/>
      <c r="H24" s="12"/>
      <c r="I24" s="32" t="s">
        <v>472</v>
      </c>
      <c r="J24" s="12"/>
      <c r="K24" s="12"/>
      <c r="L24" s="12"/>
      <c r="M24" s="32" t="s">
        <v>473</v>
      </c>
      <c r="N24" s="12"/>
      <c r="O24" s="12"/>
      <c r="P24" s="73" t="s">
        <v>741</v>
      </c>
      <c r="Q24" s="12"/>
      <c r="R24" s="14"/>
    </row>
    <row r="25" spans="1:18" ht="25.05" customHeight="1" x14ac:dyDescent="0.3">
      <c r="A25" s="31" t="s">
        <v>474</v>
      </c>
      <c r="B25" s="99"/>
      <c r="C25" s="32" t="s">
        <v>475</v>
      </c>
      <c r="D25" s="12"/>
      <c r="E25" s="12"/>
      <c r="F25" s="32" t="s">
        <v>476</v>
      </c>
      <c r="G25" s="12"/>
      <c r="H25" s="12"/>
      <c r="I25" s="32" t="s">
        <v>477</v>
      </c>
      <c r="J25" s="12"/>
      <c r="K25" s="12"/>
      <c r="L25" s="12"/>
      <c r="M25" s="32" t="s">
        <v>285</v>
      </c>
      <c r="N25" s="12"/>
      <c r="O25" s="12"/>
      <c r="P25" s="74" t="s">
        <v>719</v>
      </c>
      <c r="Q25" s="12"/>
      <c r="R25" s="14"/>
    </row>
    <row r="26" spans="1:18" ht="25.05" customHeight="1" x14ac:dyDescent="0.3">
      <c r="A26" s="31" t="s">
        <v>493</v>
      </c>
      <c r="B26" s="99"/>
      <c r="C26" s="32" t="s">
        <v>478</v>
      </c>
      <c r="D26" s="12"/>
      <c r="E26" s="12"/>
      <c r="F26" s="32" t="s">
        <v>373</v>
      </c>
      <c r="G26" s="12"/>
      <c r="H26" s="12"/>
      <c r="I26" s="32" t="s">
        <v>430</v>
      </c>
      <c r="J26" s="12"/>
      <c r="K26" s="12"/>
      <c r="L26" s="12"/>
      <c r="M26" s="32" t="s">
        <v>311</v>
      </c>
      <c r="N26" s="12"/>
      <c r="O26" s="12"/>
      <c r="P26" s="74" t="s">
        <v>719</v>
      </c>
      <c r="Q26" s="12"/>
      <c r="R26" s="14"/>
    </row>
    <row r="27" spans="1:18" ht="25.95" customHeight="1" x14ac:dyDescent="0.3">
      <c r="A27" s="37" t="s">
        <v>479</v>
      </c>
      <c r="B27" s="100"/>
      <c r="C27" s="38" t="s">
        <v>480</v>
      </c>
      <c r="D27" s="39"/>
      <c r="E27" s="39"/>
      <c r="F27" s="38" t="s">
        <v>401</v>
      </c>
      <c r="G27" s="39"/>
      <c r="H27" s="39"/>
      <c r="I27" s="38" t="s">
        <v>308</v>
      </c>
      <c r="J27" s="39"/>
      <c r="K27" s="39"/>
      <c r="L27" s="39"/>
      <c r="M27" s="38" t="s">
        <v>481</v>
      </c>
      <c r="N27" s="39"/>
      <c r="O27" s="39"/>
      <c r="P27" s="75" t="s">
        <v>742</v>
      </c>
      <c r="Q27" s="39"/>
      <c r="R27" s="40"/>
    </row>
    <row r="28" spans="1:18" ht="22.65" customHeight="1" x14ac:dyDescent="0.3">
      <c r="A28" s="41"/>
      <c r="B28" s="147" t="s">
        <v>482</v>
      </c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</row>
    <row r="29" spans="1:18" ht="42.45" customHeight="1" x14ac:dyDescent="0.3">
      <c r="A29" s="42" t="s">
        <v>483</v>
      </c>
      <c r="B29" s="148" t="s">
        <v>484</v>
      </c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</row>
    <row r="30" spans="1:18" ht="13.8" customHeight="1" x14ac:dyDescent="0.3">
      <c r="A30" s="43"/>
      <c r="B30" s="148"/>
      <c r="C30" s="149"/>
      <c r="D30" s="149"/>
      <c r="E30" s="149"/>
      <c r="F30" s="149"/>
      <c r="G30" s="149"/>
      <c r="H30" s="149"/>
      <c r="I30" s="149"/>
      <c r="J30" s="149"/>
      <c r="K30" s="149"/>
      <c r="L30" s="149"/>
      <c r="M30" s="149"/>
      <c r="N30" s="149"/>
      <c r="O30" s="149"/>
      <c r="P30" s="149"/>
      <c r="Q30" s="149"/>
      <c r="R30" s="149"/>
    </row>
    <row r="31" spans="1:18" ht="22.8" x14ac:dyDescent="0.4">
      <c r="A31" s="44" t="s">
        <v>485</v>
      </c>
    </row>
    <row r="32" spans="1:18" ht="22.8" x14ac:dyDescent="0.4">
      <c r="A32" s="45" t="s">
        <v>486</v>
      </c>
    </row>
    <row r="34" spans="1:2" x14ac:dyDescent="0.3">
      <c r="A34" s="106"/>
      <c r="B34" s="130"/>
    </row>
    <row r="35" spans="1:2" x14ac:dyDescent="0.3">
      <c r="A35" s="106"/>
      <c r="B35" s="130"/>
    </row>
    <row r="36" spans="1:2" x14ac:dyDescent="0.3">
      <c r="A36" s="106"/>
      <c r="B36" s="130"/>
    </row>
    <row r="37" spans="1:2" x14ac:dyDescent="0.3">
      <c r="A37" s="106"/>
      <c r="B37" s="130"/>
    </row>
  </sheetData>
  <mergeCells count="3">
    <mergeCell ref="A1:R1"/>
    <mergeCell ref="B28:R28"/>
    <mergeCell ref="B29:R30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669DA-950B-4DE8-99D8-36829BEF58B5}">
  <sheetPr codeName="Sheet4"/>
  <dimension ref="B1:AK51"/>
  <sheetViews>
    <sheetView zoomScale="50" zoomScaleNormal="50" workbookViewId="0">
      <selection activeCell="W25" sqref="W25"/>
    </sheetView>
  </sheetViews>
  <sheetFormatPr defaultRowHeight="14.4" x14ac:dyDescent="0.3"/>
  <cols>
    <col min="1" max="16384" width="8.88671875" style="60"/>
  </cols>
  <sheetData>
    <row r="1" spans="2:13" x14ac:dyDescent="0.3">
      <c r="B1" s="60" t="s">
        <v>527</v>
      </c>
      <c r="C1" s="60" t="s">
        <v>528</v>
      </c>
      <c r="D1" s="60" t="s">
        <v>529</v>
      </c>
      <c r="E1" s="60">
        <v>15</v>
      </c>
      <c r="F1" s="60" t="s">
        <v>530</v>
      </c>
      <c r="G1" s="60" t="s">
        <v>531</v>
      </c>
      <c r="H1" s="60" t="s">
        <v>532</v>
      </c>
      <c r="I1" s="60" t="s">
        <v>533</v>
      </c>
      <c r="J1" s="60" t="s">
        <v>534</v>
      </c>
      <c r="K1" s="60" t="s">
        <v>535</v>
      </c>
      <c r="L1" s="60">
        <v>15</v>
      </c>
      <c r="M1" s="60" t="s">
        <v>536</v>
      </c>
    </row>
    <row r="2" spans="2:13" x14ac:dyDescent="0.3">
      <c r="B2" s="60" t="s">
        <v>537</v>
      </c>
      <c r="C2" s="61">
        <v>0.3034722222222222</v>
      </c>
      <c r="D2" s="76">
        <v>0.46666666666666662</v>
      </c>
      <c r="E2" s="61">
        <v>0.60347222222222219</v>
      </c>
      <c r="F2" s="61">
        <v>0.72430555555555554</v>
      </c>
      <c r="G2" s="78">
        <v>0.85138888888888886</v>
      </c>
    </row>
    <row r="3" spans="2:13" x14ac:dyDescent="0.3">
      <c r="B3" s="60" t="s">
        <v>538</v>
      </c>
      <c r="C3" s="60" t="s">
        <v>539</v>
      </c>
      <c r="D3" s="61">
        <v>0.31527777777777777</v>
      </c>
      <c r="E3" s="60" t="s">
        <v>540</v>
      </c>
      <c r="F3" s="61">
        <v>0.61527777777777781</v>
      </c>
      <c r="G3" s="61">
        <v>0.73611111111111116</v>
      </c>
      <c r="H3" s="60" t="s">
        <v>540</v>
      </c>
    </row>
    <row r="4" spans="2:13" x14ac:dyDescent="0.3">
      <c r="B4" s="60" t="s">
        <v>541</v>
      </c>
      <c r="C4" s="60" t="s">
        <v>539</v>
      </c>
      <c r="D4" s="61">
        <v>0.32083333333333336</v>
      </c>
      <c r="E4" s="60" t="s">
        <v>540</v>
      </c>
      <c r="F4" s="61">
        <v>0.62013888888888891</v>
      </c>
      <c r="G4" s="61">
        <v>0.7416666666666667</v>
      </c>
      <c r="H4" s="60" t="s">
        <v>540</v>
      </c>
    </row>
    <row r="5" spans="2:13" x14ac:dyDescent="0.3">
      <c r="B5" s="60" t="s">
        <v>542</v>
      </c>
      <c r="C5" s="61">
        <v>0.32569444444444445</v>
      </c>
      <c r="D5" s="76">
        <v>0.4861111111111111</v>
      </c>
      <c r="E5" s="61">
        <v>0.625</v>
      </c>
      <c r="F5" s="61">
        <v>0.74791666666666667</v>
      </c>
      <c r="G5" s="78">
        <v>0.87083333333333324</v>
      </c>
    </row>
    <row r="6" spans="2:13" x14ac:dyDescent="0.3">
      <c r="B6" s="60" t="s">
        <v>543</v>
      </c>
      <c r="C6" s="60" t="s">
        <v>539</v>
      </c>
      <c r="D6" s="61">
        <v>0.33333333333333331</v>
      </c>
      <c r="E6" s="60" t="s">
        <v>540</v>
      </c>
      <c r="F6" s="61">
        <v>0.63263888888888886</v>
      </c>
      <c r="G6" s="61">
        <v>0.75486111111111109</v>
      </c>
      <c r="H6" s="60" t="s">
        <v>540</v>
      </c>
    </row>
    <row r="7" spans="2:13" x14ac:dyDescent="0.3">
      <c r="B7" s="60" t="s">
        <v>544</v>
      </c>
      <c r="C7" s="61">
        <v>0.33749999999999997</v>
      </c>
      <c r="D7" s="60" t="s">
        <v>540</v>
      </c>
      <c r="E7" s="61">
        <v>0.63680555555555551</v>
      </c>
      <c r="F7" s="61">
        <v>0.7597222222222223</v>
      </c>
      <c r="G7" s="60" t="s">
        <v>540</v>
      </c>
    </row>
    <row r="8" spans="2:13" x14ac:dyDescent="0.3">
      <c r="B8" s="60" t="s">
        <v>545</v>
      </c>
      <c r="C8" s="61">
        <v>0.34097222222222223</v>
      </c>
      <c r="D8" s="76">
        <v>0.49861111111111112</v>
      </c>
      <c r="E8" s="61">
        <v>0.64027777777777783</v>
      </c>
      <c r="F8" s="61">
        <v>0.76250000000000007</v>
      </c>
      <c r="G8" s="78">
        <v>0.8847222222222223</v>
      </c>
    </row>
    <row r="9" spans="2:13" x14ac:dyDescent="0.3">
      <c r="B9" s="60" t="s">
        <v>546</v>
      </c>
      <c r="C9" s="60" t="s">
        <v>539</v>
      </c>
      <c r="D9" s="61">
        <v>0.34513888888888888</v>
      </c>
      <c r="E9" s="60" t="s">
        <v>540</v>
      </c>
      <c r="F9" s="61">
        <v>0.64444444444444449</v>
      </c>
      <c r="G9" s="61">
        <v>0.76666666666666661</v>
      </c>
      <c r="H9" s="60" t="s">
        <v>540</v>
      </c>
    </row>
    <row r="10" spans="2:13" x14ac:dyDescent="0.3">
      <c r="B10" s="60" t="s">
        <v>547</v>
      </c>
      <c r="C10" s="60" t="s">
        <v>539</v>
      </c>
      <c r="D10" s="61">
        <v>0.35000000000000003</v>
      </c>
      <c r="E10" s="60" t="s">
        <v>540</v>
      </c>
      <c r="F10" s="61">
        <v>0.64930555555555558</v>
      </c>
      <c r="G10" s="61">
        <v>0.77222222222222225</v>
      </c>
      <c r="H10" s="60" t="s">
        <v>540</v>
      </c>
    </row>
    <row r="11" spans="2:13" x14ac:dyDescent="0.3">
      <c r="B11" s="60" t="s">
        <v>548</v>
      </c>
      <c r="C11" s="61">
        <v>0.26180555555555557</v>
      </c>
      <c r="D11" s="61">
        <v>0.3576388888888889</v>
      </c>
      <c r="E11" s="76">
        <v>0.5131944444444444</v>
      </c>
      <c r="F11" s="61">
        <v>0.65763888888888888</v>
      </c>
      <c r="G11" s="61">
        <v>0.77986111111111101</v>
      </c>
      <c r="H11" s="78">
        <v>0.89930555555555547</v>
      </c>
    </row>
    <row r="12" spans="2:13" x14ac:dyDescent="0.3">
      <c r="B12" s="60" t="s">
        <v>549</v>
      </c>
      <c r="C12" s="61">
        <v>0.26805555555555555</v>
      </c>
      <c r="D12" s="61">
        <v>0.36388888888888887</v>
      </c>
      <c r="E12" s="60" t="s">
        <v>540</v>
      </c>
      <c r="F12" s="61">
        <v>0.66388888888888886</v>
      </c>
      <c r="G12" s="61">
        <v>0.78611111111111109</v>
      </c>
      <c r="H12" s="60" t="s">
        <v>540</v>
      </c>
    </row>
    <row r="13" spans="2:13" x14ac:dyDescent="0.3">
      <c r="B13" s="60" t="s">
        <v>550</v>
      </c>
      <c r="D13" s="103">
        <v>0.3125</v>
      </c>
      <c r="E13" s="60" t="s">
        <v>551</v>
      </c>
      <c r="F13" s="104">
        <v>0.3576388888888889</v>
      </c>
      <c r="G13" s="60" t="s">
        <v>552</v>
      </c>
      <c r="H13" s="61">
        <v>0.68541666666666667</v>
      </c>
    </row>
    <row r="14" spans="2:13" x14ac:dyDescent="0.3">
      <c r="B14" s="60" t="s">
        <v>553</v>
      </c>
      <c r="D14" s="61">
        <v>0.31388888888888888</v>
      </c>
      <c r="E14" s="61">
        <v>0.58888888888888891</v>
      </c>
      <c r="F14" s="61">
        <v>0.78541666666666676</v>
      </c>
    </row>
    <row r="15" spans="2:13" x14ac:dyDescent="0.3">
      <c r="B15" s="60" t="s">
        <v>554</v>
      </c>
      <c r="C15" s="61">
        <v>0.26874999999999999</v>
      </c>
      <c r="D15" s="76">
        <v>0.31597222222222221</v>
      </c>
      <c r="E15" s="76">
        <v>0.3659722222222222</v>
      </c>
      <c r="F15" s="76">
        <v>0.40833333333333338</v>
      </c>
      <c r="G15" s="61">
        <v>0.50208333333333333</v>
      </c>
      <c r="H15" s="76">
        <v>0.59097222222222223</v>
      </c>
      <c r="I15" s="76">
        <v>0.65</v>
      </c>
      <c r="J15" s="78">
        <v>0.69236111111111109</v>
      </c>
      <c r="K15" s="61">
        <v>0.72986111111111107</v>
      </c>
      <c r="L15" s="76">
        <v>0.78749999999999998</v>
      </c>
      <c r="M15" s="61">
        <v>0.84027777777777779</v>
      </c>
    </row>
    <row r="16" spans="2:13" x14ac:dyDescent="0.3">
      <c r="B16" s="60" t="s">
        <v>555</v>
      </c>
      <c r="C16" s="60" t="s">
        <v>539</v>
      </c>
      <c r="D16" s="61">
        <v>0.27499999999999997</v>
      </c>
      <c r="E16" s="60" t="s">
        <v>540</v>
      </c>
      <c r="F16" s="60" t="s">
        <v>540</v>
      </c>
      <c r="G16" s="60" t="s">
        <v>540</v>
      </c>
      <c r="H16" s="61">
        <v>0.50763888888888886</v>
      </c>
      <c r="I16" s="60" t="s">
        <v>540</v>
      </c>
      <c r="J16" s="61">
        <v>0.73611111111111116</v>
      </c>
      <c r="K16" s="60" t="s">
        <v>540</v>
      </c>
      <c r="L16" s="61">
        <v>0.84652777777777777</v>
      </c>
    </row>
    <row r="17" spans="2:35" x14ac:dyDescent="0.3">
      <c r="B17" s="60" t="s">
        <v>556</v>
      </c>
      <c r="C17" s="61">
        <v>0.27986111111111112</v>
      </c>
      <c r="D17" s="60" t="s">
        <v>540</v>
      </c>
      <c r="E17" s="60" t="s">
        <v>540</v>
      </c>
      <c r="F17" s="60" t="s">
        <v>540</v>
      </c>
      <c r="G17" s="77">
        <v>0.5131944444444444</v>
      </c>
      <c r="H17" s="60" t="s">
        <v>540</v>
      </c>
      <c r="I17" s="60" t="s">
        <v>540</v>
      </c>
      <c r="J17" s="60" t="s">
        <v>540</v>
      </c>
      <c r="K17" s="61">
        <v>0.74097222222222225</v>
      </c>
      <c r="L17" s="60" t="s">
        <v>540</v>
      </c>
      <c r="M17" s="61">
        <v>0.85138888888888886</v>
      </c>
    </row>
    <row r="18" spans="2:35" x14ac:dyDescent="0.3">
      <c r="B18" s="60" t="s">
        <v>557</v>
      </c>
      <c r="C18" s="61">
        <v>0.28611111111111115</v>
      </c>
      <c r="D18" s="60" t="s">
        <v>540</v>
      </c>
      <c r="E18" s="60" t="s">
        <v>540</v>
      </c>
      <c r="F18" s="60" t="s">
        <v>540</v>
      </c>
      <c r="G18" s="61">
        <v>0.51944444444444449</v>
      </c>
      <c r="H18" s="60" t="s">
        <v>540</v>
      </c>
      <c r="I18" s="60" t="s">
        <v>540</v>
      </c>
      <c r="J18" s="60" t="s">
        <v>540</v>
      </c>
      <c r="K18" s="61">
        <v>0.74722222222222223</v>
      </c>
      <c r="L18" s="60" t="s">
        <v>540</v>
      </c>
      <c r="M18" s="61">
        <v>0.85763888888888884</v>
      </c>
    </row>
    <row r="19" spans="2:35" x14ac:dyDescent="0.3">
      <c r="B19" s="60" t="s">
        <v>558</v>
      </c>
      <c r="C19" s="61">
        <v>0.29166666666666669</v>
      </c>
      <c r="D19" s="76">
        <v>0.3354166666666667</v>
      </c>
      <c r="E19" s="76">
        <v>0.38541666666666669</v>
      </c>
      <c r="F19" s="76">
        <v>0.43055555555555558</v>
      </c>
      <c r="G19" s="61">
        <v>0.52500000000000002</v>
      </c>
      <c r="H19" s="76">
        <v>0.61041666666666672</v>
      </c>
      <c r="I19" s="76">
        <v>0.6694444444444444</v>
      </c>
      <c r="J19" s="78">
        <v>0.71250000000000002</v>
      </c>
      <c r="K19" s="61">
        <v>0.75347222222222221</v>
      </c>
      <c r="L19" s="76">
        <v>0.80833333333333324</v>
      </c>
      <c r="M19" s="61">
        <v>0.86388888888888893</v>
      </c>
    </row>
    <row r="20" spans="2:35" x14ac:dyDescent="0.3">
      <c r="B20" s="60" t="s">
        <v>559</v>
      </c>
      <c r="C20" s="60" t="s">
        <v>539</v>
      </c>
      <c r="D20" s="61">
        <v>0.29652777777777778</v>
      </c>
      <c r="E20" s="60" t="s">
        <v>540</v>
      </c>
      <c r="F20" s="60" t="s">
        <v>540</v>
      </c>
      <c r="G20" s="60" t="s">
        <v>540</v>
      </c>
      <c r="H20" s="61">
        <v>0.52916666666666667</v>
      </c>
      <c r="I20" s="60" t="s">
        <v>540</v>
      </c>
      <c r="J20" s="61">
        <v>0.75763888888888886</v>
      </c>
      <c r="K20" s="60" t="s">
        <v>540</v>
      </c>
      <c r="L20" s="61">
        <v>0.86875000000000002</v>
      </c>
    </row>
    <row r="21" spans="2:35" x14ac:dyDescent="0.3">
      <c r="B21" s="60" t="s">
        <v>560</v>
      </c>
      <c r="C21" s="60" t="s">
        <v>539</v>
      </c>
      <c r="D21" s="61">
        <v>0.30069444444444443</v>
      </c>
      <c r="E21" s="60" t="s">
        <v>540</v>
      </c>
      <c r="F21" s="60" t="s">
        <v>540</v>
      </c>
      <c r="G21" s="60" t="s">
        <v>540</v>
      </c>
      <c r="H21" s="61">
        <v>0.53333333333333333</v>
      </c>
      <c r="I21" s="60" t="s">
        <v>540</v>
      </c>
      <c r="J21" s="60" t="s">
        <v>540</v>
      </c>
      <c r="K21" s="60" t="s">
        <v>540</v>
      </c>
      <c r="L21" s="61">
        <v>0.76180555555555562</v>
      </c>
      <c r="M21" s="60" t="s">
        <v>540</v>
      </c>
      <c r="N21" s="61">
        <v>0.87291666666666667</v>
      </c>
    </row>
    <row r="22" spans="2:35" x14ac:dyDescent="0.3">
      <c r="B22" s="60" t="s">
        <v>561</v>
      </c>
      <c r="C22" s="61">
        <v>0.30624999999999997</v>
      </c>
      <c r="D22" s="60" t="s">
        <v>540</v>
      </c>
      <c r="E22" s="60" t="s">
        <v>540</v>
      </c>
      <c r="F22" s="61">
        <v>0.53819444444444442</v>
      </c>
      <c r="G22" s="60" t="s">
        <v>540</v>
      </c>
      <c r="H22" s="60" t="s">
        <v>540</v>
      </c>
      <c r="I22" s="60" t="s">
        <v>540</v>
      </c>
      <c r="J22" s="61">
        <v>0.76666666666666661</v>
      </c>
      <c r="K22" s="60" t="s">
        <v>540</v>
      </c>
      <c r="L22" s="61">
        <v>0.87777777777777777</v>
      </c>
    </row>
    <row r="23" spans="2:35" x14ac:dyDescent="0.3">
      <c r="B23" s="60" t="s">
        <v>562</v>
      </c>
      <c r="C23" s="61">
        <v>0.31319444444444444</v>
      </c>
      <c r="D23" s="60" t="s">
        <v>540</v>
      </c>
      <c r="E23" s="60" t="s">
        <v>540</v>
      </c>
      <c r="F23" s="60" t="s">
        <v>540</v>
      </c>
      <c r="G23" s="61">
        <v>0.54375000000000007</v>
      </c>
      <c r="H23" s="60" t="s">
        <v>540</v>
      </c>
      <c r="I23" s="60" t="s">
        <v>540</v>
      </c>
      <c r="J23" s="60" t="s">
        <v>540</v>
      </c>
      <c r="K23" s="61">
        <v>0.77222222222222225</v>
      </c>
      <c r="L23" s="60" t="s">
        <v>540</v>
      </c>
      <c r="M23" s="61">
        <v>0.8833333333333333</v>
      </c>
    </row>
    <row r="24" spans="2:35" x14ac:dyDescent="0.3">
      <c r="B24" s="60" t="s">
        <v>563</v>
      </c>
      <c r="C24" s="61">
        <v>0.31805555555555554</v>
      </c>
      <c r="D24" s="76">
        <v>0.35486111111111113</v>
      </c>
      <c r="E24" s="76">
        <v>0.40625</v>
      </c>
      <c r="F24" s="76">
        <v>0.45277777777777778</v>
      </c>
      <c r="G24" s="61">
        <v>0.54999999999999993</v>
      </c>
      <c r="H24" s="76">
        <v>0.63055555555555554</v>
      </c>
      <c r="I24" s="76">
        <v>0.68888888888888899</v>
      </c>
      <c r="J24" s="78">
        <v>0.7319444444444444</v>
      </c>
      <c r="K24" s="61">
        <v>0.77847222222222223</v>
      </c>
      <c r="L24" s="76">
        <v>0.82777777777777783</v>
      </c>
      <c r="M24" s="61">
        <v>0.8881944444444444</v>
      </c>
    </row>
    <row r="25" spans="2:35" x14ac:dyDescent="0.3">
      <c r="B25" s="60" t="s">
        <v>564</v>
      </c>
      <c r="C25" s="61">
        <v>0.27499999999999997</v>
      </c>
      <c r="D25" s="61">
        <v>0.3263888888888889</v>
      </c>
      <c r="E25" s="76">
        <v>0.36249999999999999</v>
      </c>
      <c r="F25" s="61">
        <v>0.37152777777777773</v>
      </c>
      <c r="G25" s="76">
        <v>0.4145833333333333</v>
      </c>
      <c r="H25" s="76">
        <v>0.46111111111111108</v>
      </c>
      <c r="I25" s="76">
        <v>0.52500000000000002</v>
      </c>
      <c r="J25" s="61">
        <v>0.55833333333333335</v>
      </c>
      <c r="K25" s="76">
        <v>0.63888888888888895</v>
      </c>
      <c r="L25" s="61">
        <v>0.67083333333333339</v>
      </c>
      <c r="M25" s="76">
        <v>0.6972222222222223</v>
      </c>
      <c r="N25" s="78">
        <v>0.7402777777777777</v>
      </c>
      <c r="O25" s="61">
        <v>0.78611111111111109</v>
      </c>
      <c r="P25" s="61">
        <v>0.79305555555555562</v>
      </c>
      <c r="Q25" s="76">
        <v>0.8354166666666667</v>
      </c>
      <c r="R25" s="61">
        <v>0.89583333333333337</v>
      </c>
      <c r="S25" s="78">
        <v>0.91111111111111109</v>
      </c>
    </row>
    <row r="26" spans="2:35" x14ac:dyDescent="0.3">
      <c r="B26" s="60" t="s">
        <v>565</v>
      </c>
      <c r="C26" s="61">
        <v>0.27916666666666667</v>
      </c>
      <c r="D26" s="61">
        <v>0.33055555555555555</v>
      </c>
      <c r="E26" s="60" t="s">
        <v>540</v>
      </c>
      <c r="F26" s="61">
        <v>0.3756944444444445</v>
      </c>
      <c r="G26" s="60" t="s">
        <v>540</v>
      </c>
      <c r="H26" s="60" t="s">
        <v>540</v>
      </c>
      <c r="I26" s="60" t="s">
        <v>540</v>
      </c>
      <c r="J26" s="61">
        <v>0.5625</v>
      </c>
      <c r="K26" s="60" t="s">
        <v>540</v>
      </c>
      <c r="L26" s="61">
        <v>0.67499999999999993</v>
      </c>
      <c r="M26" s="60" t="s">
        <v>540</v>
      </c>
      <c r="N26" s="60" t="s">
        <v>540</v>
      </c>
      <c r="O26" s="61">
        <v>0.79027777777777775</v>
      </c>
      <c r="P26" s="61">
        <v>0.79722222222222217</v>
      </c>
      <c r="Q26" s="60" t="s">
        <v>540</v>
      </c>
      <c r="R26" s="61">
        <v>0.9</v>
      </c>
      <c r="S26" s="60" t="s">
        <v>540</v>
      </c>
    </row>
    <row r="27" spans="2:35" x14ac:dyDescent="0.3">
      <c r="B27" s="60" t="s">
        <v>566</v>
      </c>
      <c r="C27" s="60" t="s">
        <v>539</v>
      </c>
      <c r="D27" s="61">
        <v>0.28333333333333333</v>
      </c>
      <c r="E27" s="61">
        <v>0.3347222222222222</v>
      </c>
      <c r="F27" s="60" t="s">
        <v>540</v>
      </c>
      <c r="G27" s="61">
        <v>0.37986111111111115</v>
      </c>
      <c r="H27" s="60" t="s">
        <v>540</v>
      </c>
      <c r="I27" s="60" t="s">
        <v>540</v>
      </c>
      <c r="J27" s="60" t="s">
        <v>540</v>
      </c>
      <c r="K27" s="61">
        <v>0.56666666666666665</v>
      </c>
      <c r="L27" s="60" t="s">
        <v>540</v>
      </c>
      <c r="M27" s="61">
        <v>0.6791666666666667</v>
      </c>
      <c r="N27" s="60" t="s">
        <v>540</v>
      </c>
      <c r="O27" s="60" t="s">
        <v>540</v>
      </c>
      <c r="P27" s="61">
        <v>0.7944444444444444</v>
      </c>
      <c r="Q27" s="61">
        <v>0.80138888888888893</v>
      </c>
      <c r="R27" s="60" t="s">
        <v>540</v>
      </c>
      <c r="S27" s="61">
        <v>0.90416666666666667</v>
      </c>
      <c r="T27" s="60" t="s">
        <v>540</v>
      </c>
    </row>
    <row r="28" spans="2:35" x14ac:dyDescent="0.3">
      <c r="B28" s="60" t="s">
        <v>567</v>
      </c>
      <c r="C28" s="60" t="s">
        <v>539</v>
      </c>
      <c r="D28" s="61">
        <v>0.28611111111111115</v>
      </c>
      <c r="E28" s="61">
        <v>0.33749999999999997</v>
      </c>
      <c r="F28" s="60" t="s">
        <v>540</v>
      </c>
      <c r="G28" s="61">
        <v>0.38263888888888892</v>
      </c>
      <c r="H28" s="60" t="s">
        <v>540</v>
      </c>
      <c r="I28" s="60" t="s">
        <v>540</v>
      </c>
      <c r="J28" s="60" t="s">
        <v>540</v>
      </c>
      <c r="K28" s="61">
        <v>0.56944444444444442</v>
      </c>
      <c r="L28" s="60" t="s">
        <v>540</v>
      </c>
      <c r="M28" s="61">
        <v>0.68194444444444446</v>
      </c>
      <c r="N28" s="60" t="s">
        <v>540</v>
      </c>
      <c r="O28" s="60" t="s">
        <v>540</v>
      </c>
      <c r="P28" s="61">
        <v>0.79722222222222217</v>
      </c>
      <c r="Q28" s="61">
        <v>0.8041666666666667</v>
      </c>
      <c r="R28" s="60" t="s">
        <v>540</v>
      </c>
      <c r="S28" s="61">
        <v>0.90694444444444444</v>
      </c>
      <c r="T28" s="60" t="s">
        <v>540</v>
      </c>
    </row>
    <row r="29" spans="2:35" x14ac:dyDescent="0.3">
      <c r="B29" s="60" t="s">
        <v>568</v>
      </c>
      <c r="C29" s="61">
        <v>0.24374999999999999</v>
      </c>
      <c r="D29" s="103">
        <v>0.27361111111111108</v>
      </c>
      <c r="E29" s="61">
        <v>0.28819444444444448</v>
      </c>
      <c r="F29" s="61">
        <v>0.29166666666666669</v>
      </c>
      <c r="G29" s="103">
        <v>0.31527777777777777</v>
      </c>
      <c r="H29" s="61">
        <v>0.33958333333333335</v>
      </c>
      <c r="I29" s="61">
        <v>0.34722222222222227</v>
      </c>
      <c r="J29" s="60" t="s">
        <v>540</v>
      </c>
      <c r="K29" s="61">
        <v>0.38472222222222219</v>
      </c>
      <c r="L29" s="61">
        <v>0.39583333333333331</v>
      </c>
      <c r="M29" s="60" t="s">
        <v>540</v>
      </c>
      <c r="N29" s="61">
        <v>0.44444444444444442</v>
      </c>
      <c r="O29" s="60" t="s">
        <v>540</v>
      </c>
      <c r="P29" s="61">
        <v>0.4861111111111111</v>
      </c>
      <c r="Q29" s="60" t="s">
        <v>540</v>
      </c>
      <c r="R29" s="61">
        <v>0.53680555555555554</v>
      </c>
      <c r="S29" s="61">
        <v>0.57152777777777775</v>
      </c>
      <c r="T29" s="61">
        <v>0.58888888888888891</v>
      </c>
      <c r="U29" s="60" t="s">
        <v>540</v>
      </c>
      <c r="V29" s="61">
        <v>0.65138888888888891</v>
      </c>
      <c r="W29" s="61">
        <v>0.68402777777777779</v>
      </c>
      <c r="X29" s="61">
        <v>0.68888888888888899</v>
      </c>
      <c r="Y29" s="60" t="s">
        <v>540</v>
      </c>
      <c r="Z29" s="60" t="s">
        <v>540</v>
      </c>
      <c r="AA29" s="61">
        <v>0.75208333333333333</v>
      </c>
      <c r="AB29" s="61">
        <v>0.7993055555555556</v>
      </c>
      <c r="AC29" s="61">
        <v>0.80625000000000002</v>
      </c>
      <c r="AD29" s="61">
        <v>0.81458333333333333</v>
      </c>
      <c r="AE29" s="60" t="s">
        <v>540</v>
      </c>
      <c r="AF29" s="61">
        <v>0.90902777777777777</v>
      </c>
      <c r="AG29" s="60" t="s">
        <v>540</v>
      </c>
      <c r="AH29" s="61">
        <v>0.92361111111111116</v>
      </c>
    </row>
    <row r="30" spans="2:35" x14ac:dyDescent="0.3">
      <c r="B30" s="60" t="s">
        <v>569</v>
      </c>
      <c r="C30" s="60" t="s">
        <v>539</v>
      </c>
      <c r="D30" s="61">
        <v>0.24791666666666667</v>
      </c>
      <c r="E30" s="103">
        <v>0.27777777777777779</v>
      </c>
      <c r="F30" s="60" t="s">
        <v>540</v>
      </c>
      <c r="G30" s="61">
        <v>0.29583333333333334</v>
      </c>
      <c r="H30" s="103">
        <v>0.31944444444444448</v>
      </c>
      <c r="I30" s="61">
        <v>0.35138888888888892</v>
      </c>
      <c r="J30" s="60" t="s">
        <v>540</v>
      </c>
      <c r="K30" s="60" t="s">
        <v>540</v>
      </c>
      <c r="L30" s="61">
        <v>0.39999999999999997</v>
      </c>
      <c r="M30" s="60" t="s">
        <v>540</v>
      </c>
      <c r="N30" s="61">
        <v>0.44861111111111113</v>
      </c>
      <c r="O30" s="60" t="s">
        <v>540</v>
      </c>
      <c r="P30" s="61">
        <v>0.49027777777777781</v>
      </c>
      <c r="Q30" s="60" t="s">
        <v>540</v>
      </c>
      <c r="R30" s="61">
        <v>0.54097222222222219</v>
      </c>
      <c r="S30" s="60" t="s">
        <v>540</v>
      </c>
      <c r="T30" s="61">
        <v>0.59305555555555556</v>
      </c>
      <c r="U30" s="60" t="s">
        <v>540</v>
      </c>
      <c r="V30" s="61">
        <v>0.65555555555555556</v>
      </c>
      <c r="W30" s="60" t="s">
        <v>540</v>
      </c>
      <c r="X30" s="61">
        <v>0.69305555555555554</v>
      </c>
      <c r="Y30" s="60" t="s">
        <v>540</v>
      </c>
      <c r="Z30" s="60" t="s">
        <v>540</v>
      </c>
      <c r="AA30" s="61">
        <v>0.75624999999999998</v>
      </c>
      <c r="AB30" s="60" t="s">
        <v>540</v>
      </c>
      <c r="AC30" s="60" t="s">
        <v>540</v>
      </c>
      <c r="AD30" s="61">
        <v>0.81874999999999998</v>
      </c>
      <c r="AE30" s="60" t="s">
        <v>540</v>
      </c>
      <c r="AF30" s="60" t="s">
        <v>540</v>
      </c>
      <c r="AG30" s="60" t="s">
        <v>540</v>
      </c>
      <c r="AH30" s="61">
        <v>0.9277777777777777</v>
      </c>
    </row>
    <row r="31" spans="2:35" x14ac:dyDescent="0.3">
      <c r="B31" s="60" t="s">
        <v>570</v>
      </c>
      <c r="C31" s="60" t="s">
        <v>539</v>
      </c>
      <c r="D31" s="61">
        <v>0.25</v>
      </c>
      <c r="E31" s="103">
        <v>0.27986111111111112</v>
      </c>
      <c r="F31" s="60" t="s">
        <v>540</v>
      </c>
      <c r="G31" s="61">
        <v>0.29791666666666666</v>
      </c>
      <c r="H31" s="103">
        <v>0.3215277777777778</v>
      </c>
      <c r="I31" s="60" t="s">
        <v>540</v>
      </c>
      <c r="J31" s="61">
        <v>0.35347222222222219</v>
      </c>
      <c r="K31" s="60" t="s">
        <v>540</v>
      </c>
      <c r="L31" s="60" t="s">
        <v>540</v>
      </c>
      <c r="M31" s="61">
        <v>0.40208333333333335</v>
      </c>
      <c r="N31" s="60" t="s">
        <v>540</v>
      </c>
      <c r="O31" s="61">
        <v>0.45069444444444445</v>
      </c>
      <c r="P31" s="60" t="s">
        <v>540</v>
      </c>
      <c r="Q31" s="61">
        <v>0.49236111111111108</v>
      </c>
      <c r="R31" s="60" t="s">
        <v>540</v>
      </c>
      <c r="S31" s="61">
        <v>0.54305555555555551</v>
      </c>
      <c r="T31" s="60" t="s">
        <v>540</v>
      </c>
      <c r="U31" s="61">
        <v>0.59513888888888888</v>
      </c>
      <c r="V31" s="60" t="s">
        <v>540</v>
      </c>
      <c r="W31" s="61">
        <v>0.65763888888888888</v>
      </c>
      <c r="X31" s="60" t="s">
        <v>540</v>
      </c>
      <c r="Y31" s="61">
        <v>0.69513888888888886</v>
      </c>
      <c r="Z31" s="60" t="s">
        <v>540</v>
      </c>
      <c r="AA31" s="60" t="s">
        <v>540</v>
      </c>
      <c r="AB31" s="61">
        <v>0.7583333333333333</v>
      </c>
      <c r="AC31" s="60" t="s">
        <v>540</v>
      </c>
      <c r="AD31" s="60" t="s">
        <v>540</v>
      </c>
      <c r="AE31" s="61">
        <v>0.8208333333333333</v>
      </c>
      <c r="AF31" s="60" t="s">
        <v>540</v>
      </c>
      <c r="AG31" s="60" t="s">
        <v>540</v>
      </c>
      <c r="AH31" s="60" t="s">
        <v>540</v>
      </c>
      <c r="AI31" s="61">
        <v>0.92986111111111114</v>
      </c>
    </row>
    <row r="32" spans="2:35" x14ac:dyDescent="0.3">
      <c r="B32" s="60" t="s">
        <v>571</v>
      </c>
      <c r="C32" s="61">
        <v>0.25277777777777777</v>
      </c>
      <c r="D32" s="103">
        <v>0.28263888888888888</v>
      </c>
      <c r="E32" s="61">
        <v>0.29583333333333334</v>
      </c>
      <c r="F32" s="61">
        <v>0.30069444444444443</v>
      </c>
      <c r="G32" s="103">
        <v>0.32430555555555557</v>
      </c>
      <c r="H32" s="61">
        <v>0.34722222222222227</v>
      </c>
      <c r="I32" s="61">
        <v>0.35625000000000001</v>
      </c>
      <c r="J32" s="60" t="s">
        <v>540</v>
      </c>
      <c r="K32" s="61">
        <v>0.3923611111111111</v>
      </c>
      <c r="L32" s="61">
        <v>0.40486111111111112</v>
      </c>
      <c r="M32" s="60" t="s">
        <v>540</v>
      </c>
      <c r="N32" s="61">
        <v>0.45347222222222222</v>
      </c>
      <c r="O32" s="60" t="s">
        <v>540</v>
      </c>
      <c r="P32" s="61">
        <v>0.49513888888888885</v>
      </c>
      <c r="Q32" s="60" t="s">
        <v>540</v>
      </c>
      <c r="R32" s="61">
        <v>0.54583333333333328</v>
      </c>
      <c r="S32" s="61">
        <v>0.57916666666666672</v>
      </c>
      <c r="T32" s="61">
        <v>0.59791666666666665</v>
      </c>
      <c r="U32" s="60" t="s">
        <v>540</v>
      </c>
      <c r="V32" s="61">
        <v>0.66041666666666665</v>
      </c>
      <c r="W32" s="61">
        <v>0.69166666666666676</v>
      </c>
      <c r="X32" s="61">
        <v>0.69791666666666663</v>
      </c>
      <c r="Y32" s="60" t="s">
        <v>540</v>
      </c>
      <c r="Z32" s="60" t="s">
        <v>540</v>
      </c>
      <c r="AA32" s="61">
        <v>0.76111111111111107</v>
      </c>
      <c r="AB32" s="61">
        <v>0.80694444444444446</v>
      </c>
      <c r="AC32" s="61">
        <v>0.81388888888888899</v>
      </c>
      <c r="AD32" s="61">
        <v>0.82361111111111107</v>
      </c>
      <c r="AE32" s="60" t="s">
        <v>540</v>
      </c>
      <c r="AF32" s="61">
        <v>0.91666666666666663</v>
      </c>
      <c r="AG32" s="60" t="s">
        <v>540</v>
      </c>
      <c r="AH32" s="61">
        <v>0.93263888888888891</v>
      </c>
    </row>
    <row r="33" spans="2:37" x14ac:dyDescent="0.3">
      <c r="B33" s="60" t="s">
        <v>572</v>
      </c>
      <c r="C33" s="60" t="s">
        <v>539</v>
      </c>
      <c r="D33" s="61">
        <v>0.25555555555555559</v>
      </c>
      <c r="E33" s="103">
        <v>0.28541666666666665</v>
      </c>
      <c r="F33" s="60" t="s">
        <v>540</v>
      </c>
      <c r="G33" s="61">
        <v>0.3034722222222222</v>
      </c>
      <c r="H33" s="103">
        <v>0.32708333333333334</v>
      </c>
      <c r="I33" s="60" t="s">
        <v>540</v>
      </c>
      <c r="J33" s="61">
        <v>0.35902777777777778</v>
      </c>
      <c r="K33" s="60" t="s">
        <v>540</v>
      </c>
      <c r="L33" s="60" t="s">
        <v>540</v>
      </c>
      <c r="M33" s="61">
        <v>0.40763888888888888</v>
      </c>
      <c r="N33" s="60" t="s">
        <v>540</v>
      </c>
      <c r="O33" s="61">
        <v>0.45624999999999999</v>
      </c>
      <c r="P33" s="60" t="s">
        <v>540</v>
      </c>
      <c r="Q33" s="61">
        <v>0.49791666666666662</v>
      </c>
      <c r="R33" s="60" t="s">
        <v>540</v>
      </c>
      <c r="S33" s="61">
        <v>0.54861111111111105</v>
      </c>
      <c r="T33" s="60" t="s">
        <v>540</v>
      </c>
      <c r="U33" s="61">
        <v>0.60069444444444442</v>
      </c>
      <c r="V33" s="60" t="s">
        <v>540</v>
      </c>
      <c r="W33" s="61">
        <v>0.66319444444444442</v>
      </c>
      <c r="X33" s="60" t="s">
        <v>540</v>
      </c>
      <c r="Y33" s="61">
        <v>0.7006944444444444</v>
      </c>
      <c r="Z33" s="60" t="s">
        <v>540</v>
      </c>
      <c r="AA33" s="60" t="s">
        <v>540</v>
      </c>
      <c r="AB33" s="61">
        <v>0.76388888888888884</v>
      </c>
      <c r="AC33" s="60" t="s">
        <v>540</v>
      </c>
      <c r="AD33" s="60" t="s">
        <v>540</v>
      </c>
      <c r="AE33" s="61">
        <v>0.82638888888888884</v>
      </c>
      <c r="AF33" s="60" t="s">
        <v>540</v>
      </c>
      <c r="AG33" s="60" t="s">
        <v>540</v>
      </c>
      <c r="AH33" s="60" t="s">
        <v>540</v>
      </c>
      <c r="AI33" s="61">
        <v>0.93541666666666667</v>
      </c>
    </row>
    <row r="34" spans="2:37" x14ac:dyDescent="0.3">
      <c r="B34" s="60" t="s">
        <v>573</v>
      </c>
      <c r="C34" s="61">
        <v>0.25833333333333336</v>
      </c>
      <c r="D34" s="103">
        <v>0.28819444444444448</v>
      </c>
      <c r="E34" s="60" t="s">
        <v>540</v>
      </c>
      <c r="F34" s="61">
        <v>0.30624999999999997</v>
      </c>
      <c r="G34" s="103">
        <v>0.3298611111111111</v>
      </c>
      <c r="H34" s="60" t="s">
        <v>540</v>
      </c>
      <c r="I34" s="61">
        <v>0.36180555555555555</v>
      </c>
      <c r="J34" s="60" t="s">
        <v>540</v>
      </c>
      <c r="K34" s="60" t="s">
        <v>540</v>
      </c>
      <c r="L34" s="61">
        <v>0.41041666666666665</v>
      </c>
      <c r="M34" s="60" t="s">
        <v>540</v>
      </c>
      <c r="N34" s="61">
        <v>0.45902777777777781</v>
      </c>
      <c r="O34" s="60" t="s">
        <v>540</v>
      </c>
      <c r="P34" s="61">
        <v>0.50069444444444444</v>
      </c>
      <c r="Q34" s="60" t="s">
        <v>540</v>
      </c>
      <c r="R34" s="61">
        <v>0.55138888888888882</v>
      </c>
      <c r="S34" s="60" t="s">
        <v>540</v>
      </c>
      <c r="T34" s="61">
        <v>0.60347222222222219</v>
      </c>
      <c r="U34" s="60" t="s">
        <v>540</v>
      </c>
      <c r="V34" s="61">
        <v>0.66597222222222219</v>
      </c>
      <c r="W34" s="60" t="s">
        <v>540</v>
      </c>
      <c r="X34" s="61">
        <v>0.70347222222222217</v>
      </c>
      <c r="Y34" s="60" t="s">
        <v>540</v>
      </c>
      <c r="Z34" s="60" t="s">
        <v>540</v>
      </c>
      <c r="AA34" s="61">
        <v>0.76666666666666661</v>
      </c>
      <c r="AB34" s="60" t="s">
        <v>540</v>
      </c>
      <c r="AC34" s="60" t="s">
        <v>540</v>
      </c>
      <c r="AD34" s="61">
        <v>0.82916666666666661</v>
      </c>
      <c r="AE34" s="60" t="s">
        <v>540</v>
      </c>
      <c r="AF34" s="60" t="s">
        <v>540</v>
      </c>
      <c r="AG34" s="60" t="s">
        <v>540</v>
      </c>
      <c r="AH34" s="61">
        <v>0.93819444444444444</v>
      </c>
    </row>
    <row r="35" spans="2:37" x14ac:dyDescent="0.3">
      <c r="B35" s="60" t="s">
        <v>574</v>
      </c>
      <c r="C35" s="61">
        <v>0.26111111111111113</v>
      </c>
      <c r="D35" s="103">
        <v>0.29097222222222224</v>
      </c>
      <c r="E35" s="60" t="s">
        <v>540</v>
      </c>
      <c r="F35" s="61">
        <v>0.30902777777777779</v>
      </c>
      <c r="G35" s="103">
        <v>0.33263888888888887</v>
      </c>
      <c r="H35" s="60" t="s">
        <v>540</v>
      </c>
      <c r="I35" s="61">
        <v>0.36458333333333331</v>
      </c>
      <c r="J35" s="60" t="s">
        <v>540</v>
      </c>
      <c r="K35" s="60" t="s">
        <v>540</v>
      </c>
      <c r="L35" s="61">
        <v>0.41319444444444442</v>
      </c>
      <c r="M35" s="60" t="s">
        <v>540</v>
      </c>
      <c r="N35" s="61">
        <v>0.46180555555555558</v>
      </c>
      <c r="O35" s="60" t="s">
        <v>540</v>
      </c>
      <c r="P35" s="61">
        <v>0.50347222222222221</v>
      </c>
      <c r="Q35" s="60" t="s">
        <v>540</v>
      </c>
      <c r="R35" s="61">
        <v>0.5541666666666667</v>
      </c>
      <c r="S35" s="60" t="s">
        <v>540</v>
      </c>
      <c r="T35" s="61">
        <v>0.60625000000000007</v>
      </c>
      <c r="U35" s="60" t="s">
        <v>540</v>
      </c>
      <c r="V35" s="61">
        <v>0.66875000000000007</v>
      </c>
      <c r="W35" s="60" t="s">
        <v>540</v>
      </c>
      <c r="X35" s="61">
        <v>0.70624999999999993</v>
      </c>
      <c r="Y35" s="60" t="s">
        <v>540</v>
      </c>
      <c r="Z35" s="60" t="s">
        <v>540</v>
      </c>
      <c r="AA35" s="61">
        <v>0.76944444444444438</v>
      </c>
      <c r="AB35" s="60" t="s">
        <v>540</v>
      </c>
      <c r="AC35" s="60" t="s">
        <v>540</v>
      </c>
      <c r="AD35" s="61">
        <v>0.83194444444444438</v>
      </c>
      <c r="AE35" s="60" t="s">
        <v>540</v>
      </c>
      <c r="AF35" s="60" t="s">
        <v>540</v>
      </c>
      <c r="AG35" s="60" t="s">
        <v>540</v>
      </c>
      <c r="AH35" s="61">
        <v>0.94097222222222221</v>
      </c>
    </row>
    <row r="36" spans="2:37" x14ac:dyDescent="0.3">
      <c r="B36" s="60" t="s">
        <v>575</v>
      </c>
      <c r="C36" s="60" t="s">
        <v>539</v>
      </c>
      <c r="D36" s="61">
        <v>0.2638888888888889</v>
      </c>
      <c r="E36" s="103">
        <v>0.29375000000000001</v>
      </c>
      <c r="F36" s="60" t="s">
        <v>540</v>
      </c>
      <c r="G36" s="61">
        <v>0.31180555555555556</v>
      </c>
      <c r="H36" s="103">
        <v>0.3354166666666667</v>
      </c>
      <c r="I36" s="60" t="s">
        <v>540</v>
      </c>
      <c r="J36" s="61">
        <v>0.36736111111111108</v>
      </c>
      <c r="K36" s="60" t="s">
        <v>540</v>
      </c>
      <c r="L36" s="60" t="s">
        <v>540</v>
      </c>
      <c r="M36" s="61">
        <v>0.41597222222222219</v>
      </c>
      <c r="N36" s="60" t="s">
        <v>540</v>
      </c>
      <c r="O36" s="61">
        <v>0.46458333333333335</v>
      </c>
      <c r="P36" s="60" t="s">
        <v>540</v>
      </c>
      <c r="Q36" s="61">
        <v>0.50624999999999998</v>
      </c>
      <c r="R36" s="60" t="s">
        <v>540</v>
      </c>
      <c r="S36" s="61">
        <v>0.55694444444444446</v>
      </c>
      <c r="T36" s="60" t="s">
        <v>540</v>
      </c>
      <c r="U36" s="61">
        <v>0.60902777777777783</v>
      </c>
      <c r="V36" s="60" t="s">
        <v>540</v>
      </c>
      <c r="W36" s="61">
        <v>0.67152777777777783</v>
      </c>
      <c r="X36" s="60" t="s">
        <v>540</v>
      </c>
      <c r="Y36" s="61">
        <v>0.7090277777777777</v>
      </c>
      <c r="Z36" s="60" t="s">
        <v>540</v>
      </c>
      <c r="AA36" s="60" t="s">
        <v>540</v>
      </c>
      <c r="AB36" s="61">
        <v>0.77222222222222225</v>
      </c>
      <c r="AC36" s="60" t="s">
        <v>540</v>
      </c>
      <c r="AD36" s="60" t="s">
        <v>540</v>
      </c>
      <c r="AE36" s="61">
        <v>0.83472222222222225</v>
      </c>
      <c r="AF36" s="60" t="s">
        <v>540</v>
      </c>
      <c r="AG36" s="60" t="s">
        <v>540</v>
      </c>
      <c r="AH36" s="60" t="s">
        <v>540</v>
      </c>
      <c r="AI36" s="61">
        <v>0.94374999999999998</v>
      </c>
    </row>
    <row r="37" spans="2:37" x14ac:dyDescent="0.3">
      <c r="B37" s="60" t="s">
        <v>576</v>
      </c>
      <c r="C37" s="61">
        <v>0.26666666666666666</v>
      </c>
      <c r="D37" s="103">
        <v>0.29652777777777778</v>
      </c>
      <c r="E37" s="60" t="s">
        <v>540</v>
      </c>
      <c r="F37" s="61">
        <v>0.31458333333333333</v>
      </c>
      <c r="G37" s="103">
        <v>0.33819444444444446</v>
      </c>
      <c r="H37" s="60" t="s">
        <v>540</v>
      </c>
      <c r="I37" s="61">
        <v>0.37013888888888885</v>
      </c>
      <c r="J37" s="60" t="s">
        <v>540</v>
      </c>
      <c r="K37" s="60" t="s">
        <v>540</v>
      </c>
      <c r="L37" s="61">
        <v>0.41875000000000001</v>
      </c>
      <c r="M37" s="60" t="s">
        <v>540</v>
      </c>
      <c r="N37" s="61">
        <v>0.46736111111111112</v>
      </c>
      <c r="O37" s="60" t="s">
        <v>540</v>
      </c>
      <c r="P37" s="61">
        <v>0.50902777777777775</v>
      </c>
      <c r="Q37" s="60" t="s">
        <v>540</v>
      </c>
      <c r="R37" s="61">
        <v>0.55972222222222223</v>
      </c>
      <c r="S37" s="60" t="s">
        <v>540</v>
      </c>
      <c r="T37" s="61">
        <v>0.6118055555555556</v>
      </c>
      <c r="U37" s="60" t="s">
        <v>540</v>
      </c>
      <c r="V37" s="61">
        <v>0.6743055555555556</v>
      </c>
      <c r="W37" s="60" t="s">
        <v>540</v>
      </c>
      <c r="X37" s="61">
        <v>0.71180555555555547</v>
      </c>
      <c r="Y37" s="60" t="s">
        <v>540</v>
      </c>
      <c r="Z37" s="60" t="s">
        <v>540</v>
      </c>
      <c r="AA37" s="61">
        <v>0.77500000000000002</v>
      </c>
      <c r="AB37" s="60" t="s">
        <v>540</v>
      </c>
      <c r="AC37" s="60" t="s">
        <v>540</v>
      </c>
      <c r="AD37" s="61">
        <v>0.83750000000000002</v>
      </c>
      <c r="AE37" s="60" t="s">
        <v>540</v>
      </c>
      <c r="AF37" s="60" t="s">
        <v>540</v>
      </c>
      <c r="AG37" s="60" t="s">
        <v>540</v>
      </c>
      <c r="AH37" s="61">
        <v>0.94652777777777775</v>
      </c>
    </row>
    <row r="38" spans="2:37" x14ac:dyDescent="0.3">
      <c r="B38" s="60" t="s">
        <v>577</v>
      </c>
      <c r="C38" s="60" t="s">
        <v>539</v>
      </c>
      <c r="D38" s="61">
        <v>0.27013888888888887</v>
      </c>
      <c r="E38" s="103">
        <v>0.3</v>
      </c>
      <c r="F38" s="60" t="s">
        <v>540</v>
      </c>
      <c r="G38" s="61">
        <v>0.31805555555555554</v>
      </c>
      <c r="H38" s="103">
        <v>0.34166666666666662</v>
      </c>
      <c r="I38" s="60" t="s">
        <v>540</v>
      </c>
      <c r="J38" s="61">
        <v>0.37361111111111112</v>
      </c>
      <c r="K38" s="60" t="s">
        <v>540</v>
      </c>
      <c r="L38" s="60" t="s">
        <v>540</v>
      </c>
      <c r="M38" s="61">
        <v>0.42222222222222222</v>
      </c>
      <c r="N38" s="60" t="s">
        <v>540</v>
      </c>
      <c r="O38" s="61">
        <v>0.47083333333333338</v>
      </c>
      <c r="P38" s="60" t="s">
        <v>540</v>
      </c>
      <c r="Q38" s="61">
        <v>0.51250000000000007</v>
      </c>
      <c r="R38" s="60" t="s">
        <v>540</v>
      </c>
      <c r="S38" s="61">
        <v>0.56319444444444444</v>
      </c>
      <c r="T38" s="60" t="s">
        <v>540</v>
      </c>
      <c r="U38" s="61">
        <v>0.61527777777777781</v>
      </c>
      <c r="V38" s="60" t="s">
        <v>540</v>
      </c>
      <c r="W38" s="61">
        <v>0.6777777777777777</v>
      </c>
      <c r="X38" s="60" t="s">
        <v>540</v>
      </c>
      <c r="Y38" s="61">
        <v>0.71527777777777779</v>
      </c>
      <c r="Z38" s="60" t="s">
        <v>540</v>
      </c>
      <c r="AA38" s="60" t="s">
        <v>540</v>
      </c>
      <c r="AB38" s="61">
        <v>0.77847222222222223</v>
      </c>
      <c r="AC38" s="60" t="s">
        <v>540</v>
      </c>
      <c r="AD38" s="60" t="s">
        <v>540</v>
      </c>
      <c r="AE38" s="61">
        <v>0.84097222222222223</v>
      </c>
      <c r="AF38" s="60" t="s">
        <v>540</v>
      </c>
      <c r="AG38" s="60" t="s">
        <v>540</v>
      </c>
      <c r="AH38" s="60" t="s">
        <v>540</v>
      </c>
      <c r="AI38" s="61">
        <v>0.95000000000000007</v>
      </c>
    </row>
    <row r="39" spans="2:37" x14ac:dyDescent="0.3">
      <c r="B39" s="60" t="s">
        <v>578</v>
      </c>
      <c r="C39" s="61">
        <v>0.2722222222222222</v>
      </c>
      <c r="D39" s="103">
        <v>0.30208333333333331</v>
      </c>
      <c r="E39" s="61">
        <v>0.30902777777777779</v>
      </c>
      <c r="F39" s="61">
        <v>0.32013888888888892</v>
      </c>
      <c r="G39" s="103">
        <v>0.34375</v>
      </c>
      <c r="H39" s="61">
        <v>0.36041666666666666</v>
      </c>
      <c r="I39" s="61">
        <v>0.3756944444444445</v>
      </c>
      <c r="J39" s="76">
        <v>0.39027777777777778</v>
      </c>
      <c r="K39" s="61">
        <v>0.4055555555555555</v>
      </c>
      <c r="L39" s="61">
        <v>0.42430555555555555</v>
      </c>
      <c r="M39" s="76">
        <v>0.44236111111111115</v>
      </c>
      <c r="N39" s="61">
        <v>0.47291666666666665</v>
      </c>
      <c r="O39" s="76">
        <v>0.48888888888888887</v>
      </c>
      <c r="P39" s="61">
        <v>0.51458333333333328</v>
      </c>
      <c r="Q39" s="76">
        <v>0.55277777777777781</v>
      </c>
      <c r="R39" s="61">
        <v>0.56527777777777777</v>
      </c>
      <c r="S39" s="61">
        <v>0.59236111111111112</v>
      </c>
      <c r="T39" s="61">
        <v>0.61736111111111114</v>
      </c>
      <c r="U39" s="76">
        <v>0.66666666666666663</v>
      </c>
      <c r="V39" s="61">
        <v>0.67986111111111114</v>
      </c>
      <c r="W39" s="61">
        <v>0.70486111111111116</v>
      </c>
      <c r="X39" s="61">
        <v>0.71736111111111101</v>
      </c>
      <c r="Y39" s="76">
        <v>0.72499999999999998</v>
      </c>
      <c r="Z39" s="78">
        <v>0.7680555555555556</v>
      </c>
      <c r="AA39" s="61">
        <v>0.78055555555555556</v>
      </c>
      <c r="AB39" s="61">
        <v>0.82013888888888886</v>
      </c>
      <c r="AC39" s="61">
        <v>0.82708333333333339</v>
      </c>
      <c r="AD39" s="61">
        <v>0.84305555555555556</v>
      </c>
      <c r="AE39" s="76">
        <v>0.86319444444444438</v>
      </c>
      <c r="AF39" s="61">
        <v>0.92986111111111114</v>
      </c>
      <c r="AG39" s="78">
        <v>0.93888888888888899</v>
      </c>
      <c r="AH39" s="61">
        <v>0.95208333333333339</v>
      </c>
    </row>
    <row r="40" spans="2:37" x14ac:dyDescent="0.3">
      <c r="B40" s="60" t="s">
        <v>579</v>
      </c>
      <c r="C40" s="61">
        <v>0.27499999999999997</v>
      </c>
      <c r="D40" s="103">
        <v>0.30486111111111108</v>
      </c>
      <c r="E40" s="61">
        <v>0.31180555555555556</v>
      </c>
      <c r="F40" s="61">
        <v>0.32291666666666669</v>
      </c>
      <c r="G40" s="103">
        <v>0.34652777777777777</v>
      </c>
      <c r="H40" s="61">
        <v>0.36319444444444443</v>
      </c>
      <c r="I40" s="61">
        <v>0.37847222222222227</v>
      </c>
      <c r="J40" s="76">
        <v>0.39305555555555555</v>
      </c>
      <c r="K40" s="61">
        <v>0.40833333333333338</v>
      </c>
      <c r="L40" s="61">
        <v>0.42708333333333331</v>
      </c>
      <c r="M40" s="76">
        <v>0.44513888888888892</v>
      </c>
      <c r="N40" s="61">
        <v>0.47569444444444442</v>
      </c>
      <c r="O40" s="76">
        <v>0.4916666666666667</v>
      </c>
      <c r="P40" s="61">
        <v>0.51736111111111105</v>
      </c>
      <c r="Q40" s="76">
        <v>0.55555555555555558</v>
      </c>
      <c r="R40" s="61">
        <v>0.56805555555555554</v>
      </c>
      <c r="S40" s="61">
        <v>0.59513888888888888</v>
      </c>
      <c r="T40" s="61">
        <v>0.62013888888888891</v>
      </c>
      <c r="U40" s="76">
        <v>0.6694444444444444</v>
      </c>
      <c r="V40" s="61">
        <v>0.68263888888888891</v>
      </c>
      <c r="W40" s="61">
        <v>0.70763888888888893</v>
      </c>
      <c r="X40" s="61">
        <v>0.72013888888888899</v>
      </c>
      <c r="Y40" s="76">
        <v>0.72777777777777775</v>
      </c>
      <c r="Z40" s="78">
        <v>0.77083333333333337</v>
      </c>
      <c r="AA40" s="61">
        <v>0.78333333333333333</v>
      </c>
      <c r="AB40" s="61">
        <v>0.82291666666666663</v>
      </c>
      <c r="AC40" s="61">
        <v>0.82986111111111116</v>
      </c>
      <c r="AD40" s="61">
        <v>0.84583333333333333</v>
      </c>
      <c r="AE40" s="76">
        <v>0.86597222222222225</v>
      </c>
      <c r="AF40" s="61">
        <v>0.93263888888888891</v>
      </c>
      <c r="AG40" s="78">
        <v>0.94236111111111109</v>
      </c>
      <c r="AH40" s="61">
        <v>0.95486111111111116</v>
      </c>
    </row>
    <row r="41" spans="2:37" x14ac:dyDescent="0.3">
      <c r="B41" s="60" t="s">
        <v>580</v>
      </c>
      <c r="C41" s="61">
        <v>0.27847222222222223</v>
      </c>
      <c r="D41" s="103">
        <v>0.30833333333333335</v>
      </c>
      <c r="E41" s="61">
        <v>0.31527777777777777</v>
      </c>
      <c r="F41" s="61">
        <v>0.3263888888888889</v>
      </c>
      <c r="G41" s="103">
        <v>0.35000000000000003</v>
      </c>
      <c r="H41" s="61">
        <v>0.3666666666666667</v>
      </c>
      <c r="I41" s="61">
        <v>0.38194444444444442</v>
      </c>
      <c r="J41" s="76">
        <v>0.39652777777777781</v>
      </c>
      <c r="K41" s="61">
        <v>0.41180555555555554</v>
      </c>
      <c r="L41" s="61">
        <v>0.43055555555555558</v>
      </c>
      <c r="M41" s="76">
        <v>0.44861111111111113</v>
      </c>
      <c r="N41" s="61">
        <v>0.47916666666666669</v>
      </c>
      <c r="O41" s="76">
        <v>0.49513888888888885</v>
      </c>
      <c r="P41" s="61">
        <v>0.52083333333333337</v>
      </c>
      <c r="Q41" s="76">
        <v>0.55902777777777779</v>
      </c>
      <c r="R41" s="61">
        <v>0.57152777777777775</v>
      </c>
      <c r="S41" s="61">
        <v>0.59861111111111109</v>
      </c>
      <c r="T41" s="61">
        <v>0.62361111111111112</v>
      </c>
      <c r="U41" s="76">
        <v>0.67291666666666661</v>
      </c>
      <c r="V41" s="61">
        <v>0.68611111111111101</v>
      </c>
      <c r="W41" s="61">
        <v>0.71111111111111114</v>
      </c>
      <c r="X41" s="61">
        <v>0.72361111111111109</v>
      </c>
      <c r="Y41" s="76">
        <v>0.73125000000000007</v>
      </c>
      <c r="Z41" s="78">
        <v>0.77430555555555547</v>
      </c>
      <c r="AA41" s="61">
        <v>0.78680555555555554</v>
      </c>
      <c r="AB41" s="61">
        <v>0.82638888888888884</v>
      </c>
      <c r="AC41" s="61">
        <v>0.83333333333333337</v>
      </c>
      <c r="AD41" s="61">
        <v>0.84930555555555554</v>
      </c>
      <c r="AE41" s="76">
        <v>0.86944444444444446</v>
      </c>
      <c r="AF41" s="61">
        <v>0.93611111111111101</v>
      </c>
      <c r="AG41" s="78">
        <v>0.94513888888888886</v>
      </c>
      <c r="AH41" s="61">
        <v>0.95833333333333337</v>
      </c>
    </row>
    <row r="42" spans="2:37" x14ac:dyDescent="0.3">
      <c r="B42" s="60" t="s">
        <v>581</v>
      </c>
      <c r="C42" s="60" t="s">
        <v>582</v>
      </c>
      <c r="D42" s="60">
        <v>401</v>
      </c>
      <c r="E42" s="60">
        <v>403</v>
      </c>
      <c r="F42" s="60" t="s">
        <v>583</v>
      </c>
      <c r="G42" s="60">
        <v>221</v>
      </c>
      <c r="H42" s="60">
        <v>405</v>
      </c>
      <c r="I42" s="60">
        <v>407</v>
      </c>
      <c r="J42" s="60" t="s">
        <v>583</v>
      </c>
      <c r="K42" s="60">
        <v>211</v>
      </c>
      <c r="L42" s="60">
        <v>409</v>
      </c>
      <c r="M42" s="60" t="s">
        <v>584</v>
      </c>
      <c r="N42" s="60">
        <v>223</v>
      </c>
      <c r="O42" s="60">
        <v>411</v>
      </c>
      <c r="P42" s="60">
        <v>13</v>
      </c>
      <c r="Q42" s="60">
        <v>413</v>
      </c>
      <c r="R42" s="60">
        <v>15</v>
      </c>
      <c r="S42" s="60">
        <v>415</v>
      </c>
      <c r="T42" s="60">
        <v>21</v>
      </c>
      <c r="U42" s="60">
        <v>417</v>
      </c>
      <c r="V42" s="60">
        <v>213</v>
      </c>
      <c r="W42" s="60">
        <v>419</v>
      </c>
      <c r="X42" s="60" t="s">
        <v>585</v>
      </c>
      <c r="Y42" s="60">
        <v>421</v>
      </c>
      <c r="Z42" s="60">
        <v>225</v>
      </c>
      <c r="AA42" s="60">
        <v>423</v>
      </c>
      <c r="AB42" s="60">
        <v>19</v>
      </c>
      <c r="AC42" s="60">
        <v>61</v>
      </c>
      <c r="AD42" s="60">
        <v>425</v>
      </c>
      <c r="AE42" s="60">
        <v>215</v>
      </c>
      <c r="AF42" s="60">
        <v>227</v>
      </c>
      <c r="AG42" s="60">
        <v>427</v>
      </c>
      <c r="AH42" s="60" t="s">
        <v>586</v>
      </c>
      <c r="AI42" s="60">
        <v>217</v>
      </c>
      <c r="AJ42" s="60">
        <v>23</v>
      </c>
      <c r="AK42" s="60">
        <v>429</v>
      </c>
    </row>
    <row r="43" spans="2:37" x14ac:dyDescent="0.3">
      <c r="B43" s="60" t="s">
        <v>587</v>
      </c>
      <c r="C43" s="60" t="s">
        <v>587</v>
      </c>
      <c r="D43" s="60" t="s">
        <v>587</v>
      </c>
      <c r="E43" s="60" t="s">
        <v>587</v>
      </c>
      <c r="F43" s="60" t="s">
        <v>587</v>
      </c>
      <c r="G43" s="60" t="s">
        <v>587</v>
      </c>
      <c r="H43" s="60" t="s">
        <v>587</v>
      </c>
      <c r="I43" s="60" t="s">
        <v>587</v>
      </c>
      <c r="J43" s="60" t="s">
        <v>587</v>
      </c>
    </row>
    <row r="44" spans="2:37" x14ac:dyDescent="0.3">
      <c r="B44" s="60" t="s">
        <v>588</v>
      </c>
      <c r="C44" s="60" t="s">
        <v>589</v>
      </c>
      <c r="D44" s="60" t="s">
        <v>590</v>
      </c>
      <c r="E44" s="60" t="s">
        <v>591</v>
      </c>
      <c r="F44" s="60" t="s">
        <v>592</v>
      </c>
      <c r="G44" s="60" t="s">
        <v>593</v>
      </c>
      <c r="H44" s="60" t="s">
        <v>594</v>
      </c>
      <c r="I44" s="60" t="s">
        <v>595</v>
      </c>
      <c r="J44" s="60" t="s">
        <v>596</v>
      </c>
      <c r="K44" s="60" t="s">
        <v>597</v>
      </c>
      <c r="L44" s="60" t="s">
        <v>598</v>
      </c>
      <c r="M44" s="60" t="s">
        <v>599</v>
      </c>
      <c r="N44" s="60" t="s">
        <v>588</v>
      </c>
      <c r="O44" s="60" t="s">
        <v>589</v>
      </c>
      <c r="P44" s="60" t="s">
        <v>588</v>
      </c>
      <c r="Q44" s="60" t="s">
        <v>589</v>
      </c>
    </row>
    <row r="45" spans="2:37" x14ac:dyDescent="0.3">
      <c r="B45" s="60" t="s">
        <v>587</v>
      </c>
      <c r="C45" s="60" t="s">
        <v>600</v>
      </c>
      <c r="D45" s="60" t="s">
        <v>531</v>
      </c>
      <c r="E45" s="60" t="s">
        <v>601</v>
      </c>
      <c r="F45" s="60" t="s">
        <v>602</v>
      </c>
    </row>
    <row r="46" spans="2:37" x14ac:dyDescent="0.3">
      <c r="B46" s="61">
        <v>0.36041666666666666</v>
      </c>
    </row>
    <row r="48" spans="2:37" x14ac:dyDescent="0.3">
      <c r="B48" s="106"/>
      <c r="C48" s="130"/>
    </row>
    <row r="49" spans="2:3" x14ac:dyDescent="0.3">
      <c r="B49" s="106"/>
      <c r="C49" s="130"/>
    </row>
    <row r="50" spans="2:3" x14ac:dyDescent="0.3">
      <c r="B50" s="106"/>
      <c r="C50" s="130"/>
    </row>
    <row r="51" spans="2:3" x14ac:dyDescent="0.3">
      <c r="B51" s="106"/>
      <c r="C51" s="130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0636C-F4DB-4FDC-B43C-2B6BF941DFE4}">
  <sheetPr codeName="Sheet5"/>
  <dimension ref="B1:AM57"/>
  <sheetViews>
    <sheetView topLeftCell="A5" zoomScale="50" zoomScaleNormal="50" workbookViewId="0">
      <selection activeCell="W25" sqref="W25"/>
    </sheetView>
  </sheetViews>
  <sheetFormatPr defaultRowHeight="14.4" x14ac:dyDescent="0.3"/>
  <cols>
    <col min="1" max="1" width="8.88671875" style="60"/>
    <col min="2" max="2" width="18.88671875" style="60" bestFit="1" customWidth="1"/>
    <col min="3" max="16384" width="8.88671875" style="60"/>
  </cols>
  <sheetData>
    <row r="1" spans="2:39" x14ac:dyDescent="0.3">
      <c r="B1" s="60" t="s">
        <v>527</v>
      </c>
      <c r="C1" s="60" t="s">
        <v>528</v>
      </c>
      <c r="D1" s="60" t="s">
        <v>529</v>
      </c>
      <c r="E1" s="60">
        <v>15</v>
      </c>
      <c r="F1" s="60" t="s">
        <v>530</v>
      </c>
      <c r="G1" s="60" t="s">
        <v>531</v>
      </c>
      <c r="H1" s="60" t="s">
        <v>532</v>
      </c>
      <c r="I1" s="60" t="s">
        <v>533</v>
      </c>
      <c r="J1" s="60" t="s">
        <v>534</v>
      </c>
      <c r="K1" s="60" t="s">
        <v>535</v>
      </c>
      <c r="L1" s="60">
        <v>15</v>
      </c>
      <c r="M1" s="60" t="s">
        <v>536</v>
      </c>
    </row>
    <row r="2" spans="2:39" x14ac:dyDescent="0.3">
      <c r="B2" s="60" t="s">
        <v>588</v>
      </c>
      <c r="C2" s="60" t="s">
        <v>589</v>
      </c>
      <c r="D2" s="60" t="s">
        <v>588</v>
      </c>
      <c r="E2" s="60" t="s">
        <v>589</v>
      </c>
    </row>
    <row r="3" spans="2:39" x14ac:dyDescent="0.3">
      <c r="B3" s="60" t="s">
        <v>587</v>
      </c>
      <c r="C3" s="60" t="s">
        <v>587</v>
      </c>
      <c r="D3" s="60" t="s">
        <v>587</v>
      </c>
      <c r="E3" s="60" t="s">
        <v>587</v>
      </c>
      <c r="F3" s="60" t="s">
        <v>587</v>
      </c>
      <c r="G3" s="60" t="s">
        <v>587</v>
      </c>
      <c r="H3" s="60" t="s">
        <v>587</v>
      </c>
      <c r="I3" s="60" t="s">
        <v>587</v>
      </c>
      <c r="J3" s="60" t="s">
        <v>587</v>
      </c>
    </row>
    <row r="4" spans="2:39" x14ac:dyDescent="0.3">
      <c r="B4" s="60" t="s">
        <v>581</v>
      </c>
      <c r="C4" s="60" t="s">
        <v>582</v>
      </c>
      <c r="D4" s="60">
        <v>400</v>
      </c>
      <c r="E4" s="60" t="s">
        <v>583</v>
      </c>
      <c r="F4" s="60">
        <v>320</v>
      </c>
      <c r="G4" s="60" t="s">
        <v>583</v>
      </c>
      <c r="H4" s="60">
        <v>210</v>
      </c>
      <c r="I4" s="60">
        <v>402</v>
      </c>
      <c r="J4" s="60" t="s">
        <v>583</v>
      </c>
      <c r="K4" s="60">
        <v>220</v>
      </c>
      <c r="L4" s="60" t="s">
        <v>603</v>
      </c>
      <c r="M4" s="60">
        <v>404</v>
      </c>
      <c r="N4" s="60">
        <v>12</v>
      </c>
      <c r="O4" s="60">
        <v>406</v>
      </c>
      <c r="P4" s="60">
        <v>20</v>
      </c>
      <c r="Q4" s="60">
        <v>408</v>
      </c>
      <c r="R4" s="60" t="s">
        <v>604</v>
      </c>
      <c r="S4" s="60">
        <v>410</v>
      </c>
      <c r="T4" s="60">
        <v>212</v>
      </c>
      <c r="U4" s="60">
        <v>412</v>
      </c>
      <c r="V4" s="60">
        <v>16</v>
      </c>
      <c r="W4" s="60">
        <v>222</v>
      </c>
      <c r="X4" s="60">
        <v>414</v>
      </c>
      <c r="Y4" s="60" t="s">
        <v>605</v>
      </c>
      <c r="Z4" s="60">
        <v>416</v>
      </c>
      <c r="AA4" s="60">
        <v>214</v>
      </c>
      <c r="AB4" s="60">
        <v>418</v>
      </c>
      <c r="AC4" s="60">
        <v>224</v>
      </c>
      <c r="AD4" s="60" t="s">
        <v>606</v>
      </c>
      <c r="AE4" s="60">
        <v>420</v>
      </c>
      <c r="AF4" s="60">
        <v>422</v>
      </c>
      <c r="AG4" s="60">
        <v>216</v>
      </c>
      <c r="AH4" s="60">
        <v>22</v>
      </c>
      <c r="AI4" s="60">
        <v>424</v>
      </c>
      <c r="AJ4" s="60">
        <v>62</v>
      </c>
      <c r="AK4" s="60">
        <v>426</v>
      </c>
      <c r="AL4" s="60">
        <v>226</v>
      </c>
      <c r="AM4" s="60">
        <v>428</v>
      </c>
    </row>
    <row r="5" spans="2:39" x14ac:dyDescent="0.3">
      <c r="B5" s="60" t="s">
        <v>580</v>
      </c>
      <c r="C5" s="103">
        <v>0.24513888888888888</v>
      </c>
      <c r="D5" s="61">
        <v>0.26111111111111113</v>
      </c>
      <c r="E5" s="103">
        <v>0.30069444444444443</v>
      </c>
      <c r="F5" s="61">
        <v>0.33124999999999999</v>
      </c>
      <c r="G5" s="105">
        <v>0.34097222222222223</v>
      </c>
      <c r="H5" s="61">
        <v>0.35069444444444442</v>
      </c>
      <c r="I5" s="76">
        <v>0.40277777777777773</v>
      </c>
      <c r="J5" s="61">
        <v>0.41666666666666669</v>
      </c>
      <c r="K5" s="76">
        <v>0.46666666666666662</v>
      </c>
      <c r="L5" s="61">
        <v>0.4826388888888889</v>
      </c>
      <c r="M5" s="76">
        <v>0.5083333333333333</v>
      </c>
      <c r="N5" s="61">
        <v>0.53263888888888888</v>
      </c>
      <c r="O5" s="61">
        <v>0.54722222222222217</v>
      </c>
      <c r="P5" s="61">
        <v>0.57222222222222219</v>
      </c>
      <c r="Q5" s="78">
        <v>0.58819444444444446</v>
      </c>
      <c r="R5" s="61">
        <v>0.60486111111111118</v>
      </c>
      <c r="S5" s="61">
        <v>0.625</v>
      </c>
      <c r="T5" s="76">
        <v>0.63888888888888895</v>
      </c>
      <c r="U5" s="61">
        <v>0.67499999999999993</v>
      </c>
      <c r="V5" s="61">
        <v>0.68958333333333333</v>
      </c>
      <c r="W5" s="61">
        <v>0.71180555555555547</v>
      </c>
      <c r="X5" s="61">
        <v>0.72499999999999998</v>
      </c>
      <c r="Y5" s="76">
        <v>0.7368055555555556</v>
      </c>
      <c r="Z5" s="61">
        <v>0.74375000000000002</v>
      </c>
      <c r="AA5" s="61">
        <v>0.78749999999999998</v>
      </c>
      <c r="AB5" s="61">
        <v>0.80138888888888893</v>
      </c>
      <c r="AC5" s="107">
        <v>0.81944444444444453</v>
      </c>
      <c r="AD5" s="61">
        <v>0.8354166666666667</v>
      </c>
      <c r="AE5" s="76">
        <v>0.87013888888888891</v>
      </c>
      <c r="AF5" s="61">
        <v>0.89583333333333337</v>
      </c>
      <c r="AG5" s="61">
        <v>0.91319444444444453</v>
      </c>
      <c r="AH5" s="61">
        <v>0.94791666666666663</v>
      </c>
    </row>
    <row r="6" spans="2:39" x14ac:dyDescent="0.3">
      <c r="B6" s="60" t="s">
        <v>579</v>
      </c>
      <c r="C6" s="103">
        <v>0.24791666666666667</v>
      </c>
      <c r="D6" s="61">
        <v>0.2638888888888889</v>
      </c>
      <c r="E6" s="103">
        <v>0.3034722222222222</v>
      </c>
      <c r="F6" s="61">
        <v>0.33402777777777781</v>
      </c>
      <c r="G6" s="105">
        <v>0.34375</v>
      </c>
      <c r="H6" s="61">
        <v>0.35347222222222219</v>
      </c>
      <c r="I6" s="76">
        <v>0.4055555555555555</v>
      </c>
      <c r="J6" s="61">
        <v>0.41944444444444445</v>
      </c>
      <c r="K6" s="76">
        <v>0.4694444444444445</v>
      </c>
      <c r="L6" s="61">
        <v>0.48541666666666666</v>
      </c>
      <c r="M6" s="76">
        <v>0.51111111111111118</v>
      </c>
      <c r="N6" s="61">
        <v>0.53541666666666665</v>
      </c>
      <c r="O6" s="61">
        <v>0.54999999999999993</v>
      </c>
      <c r="P6" s="61">
        <v>0.57500000000000007</v>
      </c>
      <c r="Q6" s="78">
        <v>0.59097222222222223</v>
      </c>
      <c r="R6" s="61">
        <v>0.60763888888888895</v>
      </c>
      <c r="S6" s="61">
        <v>0.62777777777777777</v>
      </c>
      <c r="T6" s="76">
        <v>0.64166666666666672</v>
      </c>
      <c r="U6" s="61">
        <v>0.6777777777777777</v>
      </c>
      <c r="V6" s="61">
        <v>0.69236111111111109</v>
      </c>
      <c r="W6" s="61">
        <v>0.71458333333333324</v>
      </c>
      <c r="X6" s="61">
        <v>0.72777777777777775</v>
      </c>
      <c r="Y6" s="76">
        <v>0.73958333333333337</v>
      </c>
      <c r="Z6" s="61">
        <v>0.74652777777777779</v>
      </c>
      <c r="AA6" s="61">
        <v>0.79027777777777775</v>
      </c>
      <c r="AB6" s="61">
        <v>0.8041666666666667</v>
      </c>
      <c r="AC6" s="107">
        <v>0.8222222222222223</v>
      </c>
      <c r="AD6" s="61">
        <v>0.83819444444444446</v>
      </c>
      <c r="AE6" s="76">
        <v>0.87291666666666667</v>
      </c>
      <c r="AF6" s="61">
        <v>0.89861111111111114</v>
      </c>
      <c r="AG6" s="61">
        <v>0.9159722222222223</v>
      </c>
      <c r="AH6" s="61">
        <v>0.9506944444444444</v>
      </c>
    </row>
    <row r="7" spans="2:39" x14ac:dyDescent="0.3">
      <c r="B7" s="60" t="s">
        <v>578</v>
      </c>
      <c r="C7" s="103">
        <v>0.25138888888888888</v>
      </c>
      <c r="D7" s="61">
        <v>0.2673611111111111</v>
      </c>
      <c r="E7" s="103">
        <v>0.30694444444444441</v>
      </c>
      <c r="F7" s="61">
        <v>0.33749999999999997</v>
      </c>
      <c r="G7" s="105">
        <v>0.34722222222222227</v>
      </c>
      <c r="H7" s="61">
        <v>0.35694444444444445</v>
      </c>
      <c r="I7" s="76">
        <v>0.40902777777777777</v>
      </c>
      <c r="J7" s="61">
        <v>0.42291666666666666</v>
      </c>
      <c r="K7" s="76">
        <v>0.47291666666666665</v>
      </c>
      <c r="L7" s="61">
        <v>0.48888888888888887</v>
      </c>
      <c r="M7" s="61">
        <v>0.51458333333333328</v>
      </c>
      <c r="N7" s="61">
        <v>0.53888888888888886</v>
      </c>
      <c r="O7" s="61">
        <v>0.55347222222222225</v>
      </c>
      <c r="P7" s="61">
        <v>0.57847222222222217</v>
      </c>
      <c r="Q7" s="78">
        <v>0.59444444444444444</v>
      </c>
      <c r="R7" s="61">
        <v>0.61111111111111105</v>
      </c>
      <c r="S7" s="61">
        <v>0.63124999999999998</v>
      </c>
      <c r="T7" s="76">
        <v>0.64513888888888882</v>
      </c>
      <c r="U7" s="61">
        <v>0.68125000000000002</v>
      </c>
      <c r="V7" s="61">
        <v>0.6958333333333333</v>
      </c>
      <c r="W7" s="61">
        <v>0.71805555555555556</v>
      </c>
      <c r="X7" s="61">
        <v>0.73125000000000007</v>
      </c>
      <c r="Y7" s="76">
        <v>0.74305555555555547</v>
      </c>
      <c r="Z7" s="61">
        <v>0.75</v>
      </c>
      <c r="AA7" s="61">
        <v>0.79375000000000007</v>
      </c>
      <c r="AB7" s="61">
        <v>0.80763888888888891</v>
      </c>
      <c r="AC7" s="107">
        <v>0.8256944444444444</v>
      </c>
      <c r="AD7" s="61">
        <v>0.84166666666666667</v>
      </c>
      <c r="AE7" s="76">
        <v>0.87638888888888899</v>
      </c>
      <c r="AF7" s="61">
        <v>0.90208333333333324</v>
      </c>
      <c r="AG7" s="61">
        <v>0.9194444444444444</v>
      </c>
      <c r="AH7" s="61">
        <v>0.95416666666666661</v>
      </c>
    </row>
    <row r="8" spans="2:39" x14ac:dyDescent="0.3">
      <c r="B8" s="60" t="s">
        <v>577</v>
      </c>
      <c r="C8" s="60" t="s">
        <v>539</v>
      </c>
      <c r="D8" s="103">
        <v>0.25277777777777777</v>
      </c>
      <c r="E8" s="60" t="s">
        <v>540</v>
      </c>
      <c r="F8" s="61">
        <v>0.30833333333333335</v>
      </c>
      <c r="G8" s="60" t="s">
        <v>540</v>
      </c>
      <c r="H8" s="60" t="s">
        <v>540</v>
      </c>
      <c r="I8" s="61">
        <v>0.35833333333333334</v>
      </c>
      <c r="J8" s="60" t="s">
        <v>540</v>
      </c>
      <c r="K8" s="61">
        <v>0.42430555555555555</v>
      </c>
      <c r="L8" s="60" t="s">
        <v>540</v>
      </c>
      <c r="M8" s="76">
        <v>0.49027777777777781</v>
      </c>
      <c r="N8" s="60" t="s">
        <v>540</v>
      </c>
      <c r="O8" s="61">
        <v>0.54027777777777775</v>
      </c>
      <c r="P8" s="60" t="s">
        <v>540</v>
      </c>
      <c r="Q8" s="61">
        <v>0.57986111111111105</v>
      </c>
      <c r="R8" s="60" t="s">
        <v>540</v>
      </c>
      <c r="S8" s="60" t="s">
        <v>540</v>
      </c>
      <c r="T8" s="61">
        <v>0.63263888888888886</v>
      </c>
      <c r="U8" s="60" t="s">
        <v>540</v>
      </c>
      <c r="V8" s="61">
        <v>0.68263888888888891</v>
      </c>
      <c r="W8" s="60" t="s">
        <v>540</v>
      </c>
      <c r="X8" s="61">
        <v>0.71944444444444444</v>
      </c>
      <c r="Y8" s="60" t="s">
        <v>540</v>
      </c>
      <c r="Z8" s="60" t="s">
        <v>540</v>
      </c>
      <c r="AA8" s="61">
        <v>0.75138888888888899</v>
      </c>
      <c r="AB8" s="61">
        <v>0.79513888888888884</v>
      </c>
      <c r="AC8" s="60" t="s">
        <v>540</v>
      </c>
      <c r="AD8" s="60" t="s">
        <v>540</v>
      </c>
      <c r="AE8" s="61">
        <v>0.84305555555555556</v>
      </c>
      <c r="AF8" s="60" t="s">
        <v>540</v>
      </c>
      <c r="AG8" s="61">
        <v>0.90347222222222223</v>
      </c>
      <c r="AH8" s="60" t="s">
        <v>540</v>
      </c>
      <c r="AI8" s="61">
        <v>0.9555555555555556</v>
      </c>
    </row>
    <row r="9" spans="2:39" x14ac:dyDescent="0.3">
      <c r="B9" s="60" t="s">
        <v>576</v>
      </c>
      <c r="C9" s="103">
        <v>0.25625000000000003</v>
      </c>
      <c r="D9" s="60" t="s">
        <v>540</v>
      </c>
      <c r="E9" s="103">
        <v>0.31180555555555556</v>
      </c>
      <c r="F9" s="60" t="s">
        <v>540</v>
      </c>
      <c r="G9" s="60" t="s">
        <v>540</v>
      </c>
      <c r="H9" s="61">
        <v>0.36180555555555555</v>
      </c>
      <c r="I9" s="60" t="s">
        <v>540</v>
      </c>
      <c r="J9" s="61">
        <v>0.42777777777777781</v>
      </c>
      <c r="K9" s="60" t="s">
        <v>540</v>
      </c>
      <c r="L9" s="61">
        <v>0.49374999999999997</v>
      </c>
      <c r="M9" s="60" t="s">
        <v>540</v>
      </c>
      <c r="N9" s="61">
        <v>0.54375000000000007</v>
      </c>
      <c r="O9" s="60" t="s">
        <v>540</v>
      </c>
      <c r="P9" s="61">
        <v>0.58333333333333337</v>
      </c>
      <c r="Q9" s="60" t="s">
        <v>540</v>
      </c>
      <c r="R9" s="60" t="s">
        <v>540</v>
      </c>
      <c r="S9" s="61">
        <v>0.63611111111111118</v>
      </c>
      <c r="T9" s="60" t="s">
        <v>540</v>
      </c>
      <c r="U9" s="61">
        <v>0.68611111111111101</v>
      </c>
      <c r="V9" s="60" t="s">
        <v>540</v>
      </c>
      <c r="W9" s="61">
        <v>0.72291666666666676</v>
      </c>
      <c r="X9" s="60" t="s">
        <v>540</v>
      </c>
      <c r="Y9" s="60" t="s">
        <v>540</v>
      </c>
      <c r="Z9" s="61">
        <v>0.75486111111111109</v>
      </c>
      <c r="AA9" s="61">
        <v>0.79861111111111116</v>
      </c>
      <c r="AB9" s="60" t="s">
        <v>540</v>
      </c>
      <c r="AC9" s="60" t="s">
        <v>540</v>
      </c>
      <c r="AD9" s="61">
        <v>0.84652777777777777</v>
      </c>
      <c r="AE9" s="60" t="s">
        <v>540</v>
      </c>
      <c r="AF9" s="61">
        <v>0.90694444444444444</v>
      </c>
      <c r="AG9" s="60" t="s">
        <v>540</v>
      </c>
      <c r="AH9" s="61">
        <v>0.9590277777777777</v>
      </c>
    </row>
    <row r="10" spans="2:39" x14ac:dyDescent="0.3">
      <c r="B10" s="60" t="s">
        <v>575</v>
      </c>
      <c r="C10" s="60" t="s">
        <v>539</v>
      </c>
      <c r="D10" s="103">
        <v>0.2590277777777778</v>
      </c>
      <c r="E10" s="60" t="s">
        <v>540</v>
      </c>
      <c r="F10" s="103">
        <v>0.31458333333333333</v>
      </c>
      <c r="G10" s="60" t="s">
        <v>540</v>
      </c>
      <c r="H10" s="60" t="s">
        <v>540</v>
      </c>
      <c r="I10" s="61">
        <v>0.36458333333333331</v>
      </c>
      <c r="J10" s="60" t="s">
        <v>540</v>
      </c>
      <c r="K10" s="61">
        <v>0.43055555555555558</v>
      </c>
      <c r="L10" s="60" t="s">
        <v>540</v>
      </c>
      <c r="M10" s="61">
        <v>0.49652777777777773</v>
      </c>
      <c r="N10" s="60" t="s">
        <v>540</v>
      </c>
      <c r="O10" s="61">
        <v>0.54652777777777783</v>
      </c>
      <c r="P10" s="60" t="s">
        <v>540</v>
      </c>
      <c r="Q10" s="61">
        <v>0.58611111111111114</v>
      </c>
      <c r="R10" s="60" t="s">
        <v>540</v>
      </c>
      <c r="S10" s="60" t="s">
        <v>540</v>
      </c>
      <c r="T10" s="61">
        <v>0.63888888888888895</v>
      </c>
      <c r="U10" s="60" t="s">
        <v>540</v>
      </c>
      <c r="V10" s="61">
        <v>0.68888888888888899</v>
      </c>
      <c r="W10" s="60" t="s">
        <v>540</v>
      </c>
      <c r="X10" s="61">
        <v>0.72569444444444453</v>
      </c>
      <c r="Y10" s="60" t="s">
        <v>540</v>
      </c>
      <c r="Z10" s="60" t="s">
        <v>540</v>
      </c>
      <c r="AA10" s="61">
        <v>0.75763888888888886</v>
      </c>
      <c r="AB10" s="61">
        <v>0.80138888888888893</v>
      </c>
      <c r="AC10" s="60" t="s">
        <v>540</v>
      </c>
      <c r="AD10" s="60" t="s">
        <v>540</v>
      </c>
      <c r="AE10" s="61">
        <v>0.84930555555555554</v>
      </c>
      <c r="AF10" s="60" t="s">
        <v>540</v>
      </c>
      <c r="AG10" s="61">
        <v>0.90972222222222221</v>
      </c>
      <c r="AH10" s="60" t="s">
        <v>540</v>
      </c>
      <c r="AI10" s="61">
        <v>0.96180555555555547</v>
      </c>
    </row>
    <row r="11" spans="2:39" x14ac:dyDescent="0.3">
      <c r="B11" s="60" t="s">
        <v>574</v>
      </c>
      <c r="C11" s="103">
        <v>0.26180555555555557</v>
      </c>
      <c r="D11" s="60" t="s">
        <v>540</v>
      </c>
      <c r="E11" s="103">
        <v>0.31736111111111115</v>
      </c>
      <c r="F11" s="60" t="s">
        <v>540</v>
      </c>
      <c r="G11" s="60" t="s">
        <v>540</v>
      </c>
      <c r="H11" s="61">
        <v>0.36736111111111108</v>
      </c>
      <c r="I11" s="60" t="s">
        <v>540</v>
      </c>
      <c r="J11" s="61">
        <v>0.43333333333333335</v>
      </c>
      <c r="K11" s="60" t="s">
        <v>540</v>
      </c>
      <c r="L11" s="61">
        <v>0.4993055555555555</v>
      </c>
      <c r="M11" s="60" t="s">
        <v>540</v>
      </c>
      <c r="N11" s="61">
        <v>0.5493055555555556</v>
      </c>
      <c r="O11" s="60" t="s">
        <v>540</v>
      </c>
      <c r="P11" s="61">
        <v>0.58888888888888891</v>
      </c>
      <c r="Q11" s="60" t="s">
        <v>540</v>
      </c>
      <c r="R11" s="60" t="s">
        <v>540</v>
      </c>
      <c r="S11" s="61">
        <v>0.64166666666666672</v>
      </c>
      <c r="T11" s="60" t="s">
        <v>540</v>
      </c>
      <c r="U11" s="61">
        <v>0.69166666666666676</v>
      </c>
      <c r="V11" s="60" t="s">
        <v>540</v>
      </c>
      <c r="W11" s="61">
        <v>0.7284722222222223</v>
      </c>
      <c r="X11" s="60" t="s">
        <v>540</v>
      </c>
      <c r="Y11" s="60" t="s">
        <v>540</v>
      </c>
      <c r="Z11" s="61">
        <v>0.76041666666666663</v>
      </c>
      <c r="AA11" s="61">
        <v>0.8041666666666667</v>
      </c>
      <c r="AB11" s="60" t="s">
        <v>540</v>
      </c>
      <c r="AC11" s="60" t="s">
        <v>540</v>
      </c>
      <c r="AD11" s="61">
        <v>0.8520833333333333</v>
      </c>
      <c r="AE11" s="60" t="s">
        <v>540</v>
      </c>
      <c r="AF11" s="61">
        <v>0.91249999999999998</v>
      </c>
      <c r="AG11" s="60" t="s">
        <v>540</v>
      </c>
      <c r="AH11" s="61">
        <v>0.96458333333333324</v>
      </c>
    </row>
    <row r="12" spans="2:39" x14ac:dyDescent="0.3">
      <c r="B12" s="60" t="s">
        <v>573</v>
      </c>
      <c r="C12" s="103">
        <v>0.26458333333333334</v>
      </c>
      <c r="D12" s="60" t="s">
        <v>540</v>
      </c>
      <c r="E12" s="103">
        <v>0.32013888888888892</v>
      </c>
      <c r="F12" s="60" t="s">
        <v>540</v>
      </c>
      <c r="G12" s="60" t="s">
        <v>540</v>
      </c>
      <c r="H12" s="61">
        <v>0.37013888888888885</v>
      </c>
      <c r="I12" s="60" t="s">
        <v>540</v>
      </c>
      <c r="J12" s="61">
        <v>0.43611111111111112</v>
      </c>
      <c r="K12" s="60" t="s">
        <v>540</v>
      </c>
      <c r="L12" s="61">
        <v>0.50208333333333333</v>
      </c>
      <c r="M12" s="60" t="s">
        <v>540</v>
      </c>
      <c r="N12" s="61">
        <v>0.55208333333333337</v>
      </c>
      <c r="O12" s="60" t="s">
        <v>540</v>
      </c>
      <c r="P12" s="61">
        <v>0.59166666666666667</v>
      </c>
      <c r="Q12" s="60" t="s">
        <v>540</v>
      </c>
      <c r="R12" s="60" t="s">
        <v>540</v>
      </c>
      <c r="S12" s="61">
        <v>0.64444444444444449</v>
      </c>
      <c r="T12" s="60" t="s">
        <v>540</v>
      </c>
      <c r="U12" s="61">
        <v>0.69444444444444453</v>
      </c>
      <c r="V12" s="60" t="s">
        <v>540</v>
      </c>
      <c r="W12" s="61">
        <v>0.73125000000000007</v>
      </c>
      <c r="X12" s="60" t="s">
        <v>540</v>
      </c>
      <c r="Y12" s="60" t="s">
        <v>540</v>
      </c>
      <c r="Z12" s="61">
        <v>0.7631944444444444</v>
      </c>
      <c r="AA12" s="61">
        <v>0.80694444444444446</v>
      </c>
      <c r="AB12" s="60" t="s">
        <v>540</v>
      </c>
      <c r="AC12" s="60" t="s">
        <v>540</v>
      </c>
      <c r="AD12" s="61">
        <v>0.85486111111111107</v>
      </c>
      <c r="AE12" s="60" t="s">
        <v>540</v>
      </c>
      <c r="AF12" s="61">
        <v>0.91527777777777775</v>
      </c>
      <c r="AG12" s="60" t="s">
        <v>540</v>
      </c>
      <c r="AH12" s="61">
        <v>0.96736111111111101</v>
      </c>
    </row>
    <row r="13" spans="2:39" x14ac:dyDescent="0.3">
      <c r="B13" s="60" t="s">
        <v>572</v>
      </c>
      <c r="C13" s="60" t="s">
        <v>539</v>
      </c>
      <c r="D13" s="103">
        <v>0.26805555555555555</v>
      </c>
      <c r="E13" s="60" t="s">
        <v>540</v>
      </c>
      <c r="F13" s="103">
        <v>0.32361111111111113</v>
      </c>
      <c r="G13" s="60" t="s">
        <v>540</v>
      </c>
      <c r="H13" s="60" t="s">
        <v>540</v>
      </c>
      <c r="I13" s="61">
        <v>0.37361111111111112</v>
      </c>
      <c r="J13" s="60" t="s">
        <v>540</v>
      </c>
      <c r="K13" s="61">
        <v>0.43958333333333338</v>
      </c>
      <c r="L13" s="60" t="s">
        <v>540</v>
      </c>
      <c r="M13" s="61">
        <v>0.50555555555555554</v>
      </c>
      <c r="N13" s="60" t="s">
        <v>540</v>
      </c>
      <c r="O13" s="61">
        <v>0.55555555555555558</v>
      </c>
      <c r="P13" s="60" t="s">
        <v>540</v>
      </c>
      <c r="Q13" s="61">
        <v>0.59513888888888888</v>
      </c>
      <c r="R13" s="60" t="s">
        <v>540</v>
      </c>
      <c r="S13" s="60" t="s">
        <v>540</v>
      </c>
      <c r="T13" s="61">
        <v>0.6479166666666667</v>
      </c>
      <c r="U13" s="60" t="s">
        <v>540</v>
      </c>
      <c r="V13" s="61">
        <v>0.69791666666666663</v>
      </c>
      <c r="W13" s="60" t="s">
        <v>540</v>
      </c>
      <c r="X13" s="61">
        <v>0.73472222222222217</v>
      </c>
      <c r="Y13" s="60" t="s">
        <v>540</v>
      </c>
      <c r="Z13" s="60" t="s">
        <v>540</v>
      </c>
      <c r="AA13" s="61">
        <v>0.76666666666666661</v>
      </c>
      <c r="AB13" s="61">
        <v>0.81041666666666667</v>
      </c>
      <c r="AC13" s="60" t="s">
        <v>540</v>
      </c>
      <c r="AD13" s="60" t="s">
        <v>540</v>
      </c>
      <c r="AE13" s="61">
        <v>0.85833333333333339</v>
      </c>
      <c r="AF13" s="60" t="s">
        <v>540</v>
      </c>
      <c r="AG13" s="61">
        <v>0.91875000000000007</v>
      </c>
      <c r="AH13" s="60" t="s">
        <v>540</v>
      </c>
      <c r="AI13" s="61">
        <v>0.97083333333333333</v>
      </c>
    </row>
    <row r="14" spans="2:39" x14ac:dyDescent="0.3">
      <c r="B14" s="60" t="s">
        <v>571</v>
      </c>
      <c r="C14" s="103">
        <v>0.27083333333333331</v>
      </c>
      <c r="D14" s="61">
        <v>0.27986111111111112</v>
      </c>
      <c r="E14" s="103">
        <v>0.3263888888888889</v>
      </c>
      <c r="F14" s="61">
        <v>0.35000000000000003</v>
      </c>
      <c r="G14" s="60" t="s">
        <v>540</v>
      </c>
      <c r="H14" s="61">
        <v>0.37638888888888888</v>
      </c>
      <c r="I14" s="60" t="s">
        <v>540</v>
      </c>
      <c r="J14" s="61">
        <v>0.44236111111111115</v>
      </c>
      <c r="K14" s="60" t="s">
        <v>540</v>
      </c>
      <c r="L14" s="61">
        <v>0.5083333333333333</v>
      </c>
      <c r="M14" s="60" t="s">
        <v>540</v>
      </c>
      <c r="N14" s="61">
        <v>0.55833333333333335</v>
      </c>
      <c r="O14" s="61">
        <v>0.56597222222222221</v>
      </c>
      <c r="P14" s="61">
        <v>0.59791666666666665</v>
      </c>
      <c r="Q14" s="60" t="s">
        <v>540</v>
      </c>
      <c r="R14" s="61">
        <v>0.62361111111111112</v>
      </c>
      <c r="S14" s="61">
        <v>0.65069444444444446</v>
      </c>
      <c r="T14" s="60" t="s">
        <v>540</v>
      </c>
      <c r="U14" s="61">
        <v>0.7006944444444444</v>
      </c>
      <c r="V14" s="61">
        <v>0.70833333333333337</v>
      </c>
      <c r="W14" s="61">
        <v>0.73749999999999993</v>
      </c>
      <c r="X14" s="61">
        <v>0.74375000000000002</v>
      </c>
      <c r="Y14" s="60" t="s">
        <v>540</v>
      </c>
      <c r="Z14" s="61">
        <v>0.76944444444444438</v>
      </c>
      <c r="AA14" s="61">
        <v>0.81319444444444444</v>
      </c>
      <c r="AB14" s="61">
        <v>0.82013888888888886</v>
      </c>
      <c r="AC14" s="60" t="s">
        <v>540</v>
      </c>
      <c r="AD14" s="61">
        <v>0.86111111111111116</v>
      </c>
      <c r="AE14" s="60" t="s">
        <v>540</v>
      </c>
      <c r="AF14" s="61">
        <v>0.92152777777777783</v>
      </c>
      <c r="AG14" s="61">
        <v>0.93194444444444446</v>
      </c>
      <c r="AH14" s="61">
        <v>0.97361111111111109</v>
      </c>
    </row>
    <row r="15" spans="2:39" x14ac:dyDescent="0.3">
      <c r="B15" s="60" t="s">
        <v>570</v>
      </c>
      <c r="C15" s="60" t="s">
        <v>539</v>
      </c>
      <c r="D15" s="103">
        <v>0.27361111111111108</v>
      </c>
      <c r="E15" s="60" t="s">
        <v>540</v>
      </c>
      <c r="F15" s="103">
        <v>0.32916666666666666</v>
      </c>
      <c r="G15" s="60" t="s">
        <v>540</v>
      </c>
      <c r="H15" s="60" t="s">
        <v>540</v>
      </c>
      <c r="I15" s="61">
        <v>0.37916666666666665</v>
      </c>
      <c r="J15" s="60" t="s">
        <v>540</v>
      </c>
      <c r="K15" s="61">
        <v>0.44513888888888892</v>
      </c>
      <c r="L15" s="60" t="s">
        <v>540</v>
      </c>
      <c r="M15" s="61">
        <v>0.51111111111111118</v>
      </c>
      <c r="N15" s="60" t="s">
        <v>540</v>
      </c>
      <c r="O15" s="61">
        <v>0.56111111111111112</v>
      </c>
      <c r="P15" s="60" t="s">
        <v>540</v>
      </c>
      <c r="Q15" s="61">
        <v>0.60069444444444442</v>
      </c>
      <c r="R15" s="60" t="s">
        <v>540</v>
      </c>
      <c r="S15" s="60" t="s">
        <v>540</v>
      </c>
      <c r="T15" s="61">
        <v>0.65347222222222223</v>
      </c>
      <c r="U15" s="60" t="s">
        <v>540</v>
      </c>
      <c r="V15" s="61">
        <v>0.70347222222222217</v>
      </c>
      <c r="W15" s="60" t="s">
        <v>540</v>
      </c>
      <c r="X15" s="61">
        <v>0.7402777777777777</v>
      </c>
      <c r="Y15" s="60" t="s">
        <v>540</v>
      </c>
      <c r="Z15" s="60" t="s">
        <v>540</v>
      </c>
      <c r="AA15" s="61">
        <v>0.77222222222222225</v>
      </c>
      <c r="AB15" s="61">
        <v>0.81597222222222221</v>
      </c>
      <c r="AC15" s="60" t="s">
        <v>540</v>
      </c>
      <c r="AD15" s="60" t="s">
        <v>540</v>
      </c>
      <c r="AE15" s="61">
        <v>0.86388888888888893</v>
      </c>
      <c r="AF15" s="60" t="s">
        <v>540</v>
      </c>
      <c r="AG15" s="61">
        <v>0.9243055555555556</v>
      </c>
      <c r="AH15" s="60" t="s">
        <v>540</v>
      </c>
      <c r="AI15" s="61">
        <v>0.97638888888888886</v>
      </c>
    </row>
    <row r="16" spans="2:39" x14ac:dyDescent="0.3">
      <c r="B16" s="60" t="s">
        <v>569</v>
      </c>
      <c r="C16" s="60" t="s">
        <v>539</v>
      </c>
      <c r="D16" s="103">
        <v>0.27569444444444446</v>
      </c>
      <c r="E16" s="60" t="s">
        <v>540</v>
      </c>
      <c r="F16" s="103">
        <v>0.33124999999999999</v>
      </c>
      <c r="G16" s="60" t="s">
        <v>540</v>
      </c>
      <c r="H16" s="60" t="s">
        <v>540</v>
      </c>
      <c r="I16" s="61">
        <v>0.38125000000000003</v>
      </c>
      <c r="J16" s="60" t="s">
        <v>540</v>
      </c>
      <c r="K16" s="61">
        <v>0.44722222222222219</v>
      </c>
      <c r="L16" s="60" t="s">
        <v>540</v>
      </c>
      <c r="M16" s="61">
        <v>0.5131944444444444</v>
      </c>
      <c r="N16" s="60" t="s">
        <v>540</v>
      </c>
      <c r="O16" s="61">
        <v>0.56319444444444444</v>
      </c>
      <c r="P16" s="60" t="s">
        <v>540</v>
      </c>
      <c r="Q16" s="61">
        <v>0.60277777777777775</v>
      </c>
      <c r="R16" s="60" t="s">
        <v>540</v>
      </c>
      <c r="S16" s="60" t="s">
        <v>540</v>
      </c>
      <c r="T16" s="61">
        <v>0.65555555555555556</v>
      </c>
      <c r="U16" s="60" t="s">
        <v>540</v>
      </c>
      <c r="V16" s="61">
        <v>0.7055555555555556</v>
      </c>
      <c r="W16" s="60" t="s">
        <v>540</v>
      </c>
      <c r="X16" s="61">
        <v>0.74236111111111114</v>
      </c>
      <c r="Y16" s="60" t="s">
        <v>540</v>
      </c>
      <c r="Z16" s="60" t="s">
        <v>540</v>
      </c>
      <c r="AA16" s="61">
        <v>0.77430555555555547</v>
      </c>
      <c r="AB16" s="61">
        <v>0.81805555555555554</v>
      </c>
      <c r="AC16" s="60" t="s">
        <v>540</v>
      </c>
      <c r="AD16" s="60" t="s">
        <v>540</v>
      </c>
      <c r="AE16" s="61">
        <v>0.86597222222222225</v>
      </c>
      <c r="AF16" s="60" t="s">
        <v>540</v>
      </c>
      <c r="AG16" s="61">
        <v>0.92638888888888893</v>
      </c>
      <c r="AH16" s="60" t="s">
        <v>540</v>
      </c>
      <c r="AI16" s="61">
        <v>0.9784722222222223</v>
      </c>
    </row>
    <row r="17" spans="2:34" x14ac:dyDescent="0.3">
      <c r="B17" s="60" t="s">
        <v>568</v>
      </c>
      <c r="C17" s="103">
        <v>0.27986111111111112</v>
      </c>
      <c r="D17" s="61">
        <v>0.28819444444444448</v>
      </c>
      <c r="E17" s="103">
        <v>0.3354166666666667</v>
      </c>
      <c r="F17" s="61">
        <v>0.35833333333333334</v>
      </c>
      <c r="G17" s="60" t="s">
        <v>540</v>
      </c>
      <c r="H17" s="61">
        <v>0.38541666666666669</v>
      </c>
      <c r="I17" s="60" t="s">
        <v>540</v>
      </c>
      <c r="J17" s="61">
        <v>0.4513888888888889</v>
      </c>
      <c r="K17" s="60" t="s">
        <v>540</v>
      </c>
      <c r="L17" s="61">
        <v>0.51736111111111105</v>
      </c>
      <c r="M17" s="60" t="s">
        <v>540</v>
      </c>
      <c r="N17" s="61">
        <v>0.56736111111111109</v>
      </c>
      <c r="O17" s="61">
        <v>0.57430555555555551</v>
      </c>
      <c r="P17" s="61">
        <v>0.6069444444444444</v>
      </c>
      <c r="Q17" s="60" t="s">
        <v>540</v>
      </c>
      <c r="R17" s="61">
        <v>0.63194444444444442</v>
      </c>
      <c r="S17" s="61">
        <v>0.65972222222222221</v>
      </c>
      <c r="T17" s="60" t="s">
        <v>540</v>
      </c>
      <c r="U17" s="61">
        <v>0.70972222222222225</v>
      </c>
      <c r="V17" s="61">
        <v>0.71666666666666667</v>
      </c>
      <c r="W17" s="61">
        <v>0.74652777777777779</v>
      </c>
      <c r="X17" s="61">
        <v>0.75208333333333333</v>
      </c>
      <c r="Y17" s="60" t="s">
        <v>540</v>
      </c>
      <c r="Z17" s="61">
        <v>0.77847222222222223</v>
      </c>
      <c r="AA17" s="61">
        <v>0.8222222222222223</v>
      </c>
      <c r="AB17" s="61">
        <v>0.82847222222222217</v>
      </c>
      <c r="AC17" s="60" t="s">
        <v>540</v>
      </c>
      <c r="AD17" s="61">
        <v>0.87013888888888891</v>
      </c>
      <c r="AE17" s="60" t="s">
        <v>540</v>
      </c>
      <c r="AF17" s="61">
        <v>0.93055555555555547</v>
      </c>
      <c r="AG17" s="61">
        <v>0.94027777777777777</v>
      </c>
      <c r="AH17" s="61">
        <v>0.98263888888888884</v>
      </c>
    </row>
    <row r="18" spans="2:34" x14ac:dyDescent="0.3">
      <c r="B18" s="60" t="s">
        <v>567</v>
      </c>
      <c r="C18" s="60" t="s">
        <v>539</v>
      </c>
      <c r="D18" s="61">
        <v>0.2902777777777778</v>
      </c>
      <c r="E18" s="61">
        <v>0.36041666666666666</v>
      </c>
      <c r="F18" s="60" t="s">
        <v>540</v>
      </c>
      <c r="G18" s="60" t="s">
        <v>540</v>
      </c>
      <c r="H18" s="60" t="s">
        <v>540</v>
      </c>
      <c r="I18" s="60" t="s">
        <v>540</v>
      </c>
      <c r="J18" s="61">
        <v>0.57638888888888895</v>
      </c>
      <c r="K18" s="60" t="s">
        <v>540</v>
      </c>
      <c r="L18" s="61">
        <v>0.63402777777777775</v>
      </c>
      <c r="M18" s="60" t="s">
        <v>540</v>
      </c>
      <c r="N18" s="61">
        <v>0.71875</v>
      </c>
      <c r="O18" s="61">
        <v>0.75416666666666676</v>
      </c>
      <c r="P18" s="60" t="s">
        <v>540</v>
      </c>
      <c r="Q18" s="61">
        <v>0.8305555555555556</v>
      </c>
      <c r="R18" s="60" t="s">
        <v>540</v>
      </c>
      <c r="S18" s="60" t="s">
        <v>540</v>
      </c>
      <c r="T18" s="61">
        <v>0.94236111111111109</v>
      </c>
    </row>
    <row r="19" spans="2:34" x14ac:dyDescent="0.3">
      <c r="B19" s="60" t="s">
        <v>566</v>
      </c>
      <c r="C19" s="60" t="s">
        <v>539</v>
      </c>
      <c r="D19" s="61">
        <v>0.29305555555555557</v>
      </c>
      <c r="E19" s="61">
        <v>0.36319444444444443</v>
      </c>
      <c r="F19" s="60" t="s">
        <v>540</v>
      </c>
      <c r="G19" s="60" t="s">
        <v>540</v>
      </c>
      <c r="H19" s="60" t="s">
        <v>540</v>
      </c>
      <c r="I19" s="60" t="s">
        <v>540</v>
      </c>
      <c r="J19" s="61">
        <v>0.57916666666666672</v>
      </c>
      <c r="K19" s="60" t="s">
        <v>540</v>
      </c>
      <c r="L19" s="61">
        <v>0.63680555555555551</v>
      </c>
      <c r="M19" s="60" t="s">
        <v>540</v>
      </c>
      <c r="N19" s="61">
        <v>0.72152777777777777</v>
      </c>
      <c r="O19" s="61">
        <v>0.75694444444444453</v>
      </c>
      <c r="P19" s="60" t="s">
        <v>540</v>
      </c>
      <c r="Q19" s="61">
        <v>0.83333333333333337</v>
      </c>
      <c r="R19" s="60" t="s">
        <v>540</v>
      </c>
      <c r="S19" s="60" t="s">
        <v>540</v>
      </c>
      <c r="T19" s="61">
        <v>0.94513888888888886</v>
      </c>
    </row>
    <row r="20" spans="2:34" x14ac:dyDescent="0.3">
      <c r="B20" s="60" t="s">
        <v>565</v>
      </c>
      <c r="C20" s="61">
        <v>0.29652777777777778</v>
      </c>
      <c r="D20" s="61">
        <v>0.3666666666666667</v>
      </c>
      <c r="E20" s="60" t="s">
        <v>540</v>
      </c>
      <c r="F20" s="60" t="s">
        <v>540</v>
      </c>
      <c r="G20" s="60" t="s">
        <v>540</v>
      </c>
      <c r="H20" s="60" t="s">
        <v>540</v>
      </c>
      <c r="I20" s="61">
        <v>0.58263888888888882</v>
      </c>
      <c r="J20" s="60" t="s">
        <v>540</v>
      </c>
      <c r="K20" s="61">
        <v>0.64027777777777783</v>
      </c>
      <c r="L20" s="60" t="s">
        <v>540</v>
      </c>
      <c r="M20" s="61">
        <v>0.72499999999999998</v>
      </c>
      <c r="N20" s="61">
        <v>0.76041666666666663</v>
      </c>
      <c r="O20" s="60" t="s">
        <v>540</v>
      </c>
      <c r="P20" s="61">
        <v>0.83680555555555547</v>
      </c>
      <c r="Q20" s="60" t="s">
        <v>540</v>
      </c>
      <c r="R20" s="60" t="s">
        <v>540</v>
      </c>
      <c r="S20" s="61">
        <v>0.94861111111111107</v>
      </c>
    </row>
    <row r="21" spans="2:34" x14ac:dyDescent="0.3">
      <c r="B21" s="60" t="s">
        <v>564</v>
      </c>
      <c r="C21" s="61">
        <v>0.30138888888888887</v>
      </c>
      <c r="D21" s="61">
        <v>0.37222222222222223</v>
      </c>
      <c r="E21" s="76">
        <v>0.375</v>
      </c>
      <c r="F21" s="76">
        <v>0.4368055555555555</v>
      </c>
      <c r="G21" s="76">
        <v>0.50069444444444444</v>
      </c>
      <c r="H21" s="76">
        <v>0.54236111111111118</v>
      </c>
      <c r="I21" s="61">
        <v>0.58750000000000002</v>
      </c>
      <c r="J21" s="78">
        <v>0.62222222222222223</v>
      </c>
      <c r="K21" s="61">
        <v>0.64513888888888882</v>
      </c>
      <c r="L21" s="76">
        <v>0.67291666666666661</v>
      </c>
      <c r="M21" s="61">
        <v>0.72986111111111107</v>
      </c>
      <c r="N21" s="61">
        <v>0.76527777777777783</v>
      </c>
      <c r="O21" s="76">
        <v>0.77083333333333337</v>
      </c>
      <c r="P21" s="61">
        <v>0.84166666666666667</v>
      </c>
      <c r="Q21" s="107">
        <v>0.8534722222222223</v>
      </c>
      <c r="R21" s="76">
        <v>0.90416666666666667</v>
      </c>
      <c r="S21" s="61">
        <v>0.95347222222222217</v>
      </c>
    </row>
    <row r="22" spans="2:34" x14ac:dyDescent="0.3">
      <c r="B22" s="60" t="s">
        <v>563</v>
      </c>
      <c r="C22" s="61">
        <v>0.30902777777777779</v>
      </c>
      <c r="D22" s="76">
        <v>0.38263888888888892</v>
      </c>
      <c r="E22" s="76">
        <v>0.44444444444444442</v>
      </c>
      <c r="F22" s="76">
        <v>0.54999999999999993</v>
      </c>
      <c r="G22" s="61">
        <v>0.59513888888888888</v>
      </c>
      <c r="H22" s="78">
        <v>0.62986111111111109</v>
      </c>
      <c r="I22" s="76">
        <v>0.68055555555555547</v>
      </c>
      <c r="J22" s="61">
        <v>0.73819444444444438</v>
      </c>
      <c r="K22" s="76">
        <v>0.77847222222222223</v>
      </c>
      <c r="L22" s="61">
        <v>0.84930555555555554</v>
      </c>
      <c r="M22" s="76">
        <v>0.91180555555555554</v>
      </c>
    </row>
    <row r="23" spans="2:34" x14ac:dyDescent="0.3">
      <c r="B23" s="60" t="s">
        <v>562</v>
      </c>
      <c r="C23" s="61">
        <v>0.31388888888888888</v>
      </c>
      <c r="D23" s="60" t="s">
        <v>540</v>
      </c>
      <c r="E23" s="60" t="s">
        <v>540</v>
      </c>
      <c r="F23" s="60" t="s">
        <v>540</v>
      </c>
      <c r="G23" s="61">
        <v>0.59930555555555554</v>
      </c>
      <c r="H23" s="60" t="s">
        <v>540</v>
      </c>
      <c r="I23" s="60" t="s">
        <v>540</v>
      </c>
      <c r="J23" s="61">
        <v>0.74305555555555547</v>
      </c>
      <c r="K23" s="60" t="s">
        <v>540</v>
      </c>
      <c r="L23" s="61">
        <v>0.85277777777777775</v>
      </c>
      <c r="M23" s="60" t="s">
        <v>540</v>
      </c>
    </row>
    <row r="24" spans="2:34" x14ac:dyDescent="0.3">
      <c r="B24" s="60" t="s">
        <v>561</v>
      </c>
      <c r="C24" s="61">
        <v>0.31944444444444448</v>
      </c>
      <c r="D24" s="60" t="s">
        <v>540</v>
      </c>
      <c r="E24" s="61">
        <v>0.60486111111111118</v>
      </c>
      <c r="F24" s="60" t="s">
        <v>540</v>
      </c>
      <c r="G24" s="60" t="s">
        <v>540</v>
      </c>
      <c r="H24" s="61">
        <v>0.74861111111111101</v>
      </c>
      <c r="I24" s="60" t="s">
        <v>540</v>
      </c>
      <c r="J24" s="61">
        <v>0.85833333333333339</v>
      </c>
      <c r="K24" s="60" t="s">
        <v>540</v>
      </c>
    </row>
    <row r="25" spans="2:34" x14ac:dyDescent="0.3">
      <c r="B25" s="60" t="s">
        <v>560</v>
      </c>
      <c r="C25" s="60" t="s">
        <v>539</v>
      </c>
      <c r="D25" s="61">
        <v>0.32430555555555557</v>
      </c>
      <c r="E25" s="60" t="s">
        <v>540</v>
      </c>
      <c r="F25" s="60" t="s">
        <v>540</v>
      </c>
      <c r="G25" s="60" t="s">
        <v>540</v>
      </c>
      <c r="H25" s="61">
        <v>0.60972222222222217</v>
      </c>
      <c r="I25" s="60" t="s">
        <v>540</v>
      </c>
      <c r="J25" s="60" t="s">
        <v>540</v>
      </c>
      <c r="K25" s="61">
        <v>0.75277777777777777</v>
      </c>
      <c r="L25" s="60" t="s">
        <v>540</v>
      </c>
      <c r="M25" s="61">
        <v>0.86319444444444438</v>
      </c>
      <c r="N25" s="60" t="s">
        <v>540</v>
      </c>
    </row>
    <row r="26" spans="2:34" x14ac:dyDescent="0.3">
      <c r="B26" s="60" t="s">
        <v>559</v>
      </c>
      <c r="C26" s="60" t="s">
        <v>539</v>
      </c>
      <c r="D26" s="61">
        <v>0.32916666666666666</v>
      </c>
      <c r="E26" s="60" t="s">
        <v>540</v>
      </c>
      <c r="F26" s="60" t="s">
        <v>540</v>
      </c>
      <c r="G26" s="60" t="s">
        <v>540</v>
      </c>
      <c r="H26" s="61">
        <v>0.61527777777777781</v>
      </c>
      <c r="I26" s="60" t="s">
        <v>540</v>
      </c>
      <c r="J26" s="60" t="s">
        <v>540</v>
      </c>
      <c r="K26" s="61">
        <v>0.7583333333333333</v>
      </c>
      <c r="L26" s="60" t="s">
        <v>540</v>
      </c>
      <c r="M26" s="61">
        <v>0.86875000000000002</v>
      </c>
      <c r="N26" s="60" t="s">
        <v>540</v>
      </c>
    </row>
    <row r="27" spans="2:34" x14ac:dyDescent="0.3">
      <c r="B27" s="60" t="s">
        <v>558</v>
      </c>
      <c r="C27" s="103">
        <v>0.29236111111111113</v>
      </c>
      <c r="D27" s="61">
        <v>0.3354166666666667</v>
      </c>
      <c r="E27" s="76">
        <v>0.40138888888888885</v>
      </c>
      <c r="F27" s="76">
        <v>0.46319444444444446</v>
      </c>
      <c r="G27" s="76">
        <v>0.56874999999999998</v>
      </c>
      <c r="H27" s="61">
        <v>0.61944444444444446</v>
      </c>
      <c r="I27" s="78">
        <v>0.64861111111111114</v>
      </c>
      <c r="J27" s="76">
        <v>0.7006944444444444</v>
      </c>
      <c r="K27" s="61">
        <v>0.76250000000000007</v>
      </c>
      <c r="L27" s="76">
        <v>0.79791666666666661</v>
      </c>
      <c r="M27" s="61">
        <v>0.87291666666666667</v>
      </c>
      <c r="N27" s="76">
        <v>0.93055555555555547</v>
      </c>
    </row>
    <row r="28" spans="2:34" x14ac:dyDescent="0.3">
      <c r="B28" s="60" t="s">
        <v>557</v>
      </c>
      <c r="C28" s="103">
        <v>0.29722222222222222</v>
      </c>
      <c r="D28" s="61">
        <v>0.34027777777777773</v>
      </c>
      <c r="E28" s="60" t="s">
        <v>540</v>
      </c>
      <c r="F28" s="60" t="s">
        <v>540</v>
      </c>
      <c r="G28" s="60" t="s">
        <v>540</v>
      </c>
      <c r="H28" s="61">
        <v>0.625</v>
      </c>
      <c r="I28" s="60" t="s">
        <v>540</v>
      </c>
      <c r="J28" s="60" t="s">
        <v>540</v>
      </c>
      <c r="K28" s="61">
        <v>0.7680555555555556</v>
      </c>
      <c r="L28" s="60" t="s">
        <v>540</v>
      </c>
      <c r="M28" s="61">
        <v>0.87847222222222221</v>
      </c>
      <c r="N28" s="60" t="s">
        <v>540</v>
      </c>
    </row>
    <row r="29" spans="2:34" x14ac:dyDescent="0.3">
      <c r="B29" s="60" t="s">
        <v>556</v>
      </c>
      <c r="C29" s="103">
        <v>0.3034722222222222</v>
      </c>
      <c r="D29" s="61">
        <v>0.34652777777777777</v>
      </c>
      <c r="E29" s="60" t="s">
        <v>540</v>
      </c>
      <c r="F29" s="60" t="s">
        <v>540</v>
      </c>
      <c r="G29" s="60" t="s">
        <v>540</v>
      </c>
      <c r="H29" s="61">
        <v>0.63124999999999998</v>
      </c>
      <c r="I29" s="60" t="s">
        <v>540</v>
      </c>
      <c r="J29" s="60" t="s">
        <v>540</v>
      </c>
      <c r="K29" s="61">
        <v>0.77430555555555547</v>
      </c>
      <c r="L29" s="60" t="s">
        <v>540</v>
      </c>
      <c r="M29" s="61">
        <v>0.8847222222222223</v>
      </c>
      <c r="N29" s="60" t="s">
        <v>540</v>
      </c>
    </row>
    <row r="30" spans="2:34" x14ac:dyDescent="0.3">
      <c r="B30" s="60" t="s">
        <v>555</v>
      </c>
      <c r="C30" s="60" t="s">
        <v>539</v>
      </c>
      <c r="D30" s="103">
        <v>0.30902777777777779</v>
      </c>
      <c r="E30" s="61">
        <v>0.3520833333333333</v>
      </c>
      <c r="F30" s="60" t="s">
        <v>540</v>
      </c>
      <c r="G30" s="60" t="s">
        <v>540</v>
      </c>
      <c r="H30" s="61">
        <v>0.63680555555555551</v>
      </c>
      <c r="I30" s="60" t="s">
        <v>540</v>
      </c>
      <c r="J30" s="60" t="s">
        <v>540</v>
      </c>
      <c r="K30" s="61">
        <v>0.77986111111111101</v>
      </c>
      <c r="L30" s="60" t="s">
        <v>540</v>
      </c>
      <c r="M30" s="61">
        <v>0.89027777777777783</v>
      </c>
      <c r="N30" s="60" t="s">
        <v>540</v>
      </c>
    </row>
    <row r="31" spans="2:34" x14ac:dyDescent="0.3">
      <c r="B31" s="60" t="s">
        <v>554</v>
      </c>
      <c r="C31" s="103">
        <v>0.31527777777777777</v>
      </c>
      <c r="D31" s="61">
        <v>0.35833333333333334</v>
      </c>
      <c r="E31" s="76">
        <v>0.42083333333333334</v>
      </c>
      <c r="F31" s="76">
        <v>0.4826388888888889</v>
      </c>
      <c r="G31" s="76">
        <v>0.58819444444444446</v>
      </c>
      <c r="H31" s="61">
        <v>0.6430555555555556</v>
      </c>
      <c r="I31" s="78">
        <v>0.67013888888888884</v>
      </c>
      <c r="J31" s="76">
        <v>0.72222222222222221</v>
      </c>
      <c r="K31" s="61">
        <v>0.78611111111111109</v>
      </c>
      <c r="L31" s="76">
        <v>0.81736111111111109</v>
      </c>
      <c r="M31" s="61">
        <v>0.8965277777777777</v>
      </c>
      <c r="N31" s="76">
        <v>0.95000000000000007</v>
      </c>
    </row>
    <row r="32" spans="2:34" x14ac:dyDescent="0.3">
      <c r="B32" s="60" t="s">
        <v>607</v>
      </c>
      <c r="E32" s="61">
        <v>0.42291666666666666</v>
      </c>
      <c r="F32" s="61">
        <v>0.59027777777777779</v>
      </c>
      <c r="G32" s="61">
        <v>0.72430555555555554</v>
      </c>
      <c r="H32" s="61">
        <v>0.81944444444444453</v>
      </c>
      <c r="L32" s="106"/>
    </row>
    <row r="33" spans="2:18" x14ac:dyDescent="0.3">
      <c r="B33" s="60" t="s">
        <v>608</v>
      </c>
    </row>
    <row r="34" spans="2:18" x14ac:dyDescent="0.3">
      <c r="B34" s="60" t="s">
        <v>609</v>
      </c>
      <c r="C34" s="61">
        <v>0.42430555555555555</v>
      </c>
      <c r="D34" s="61">
        <v>0.72638888888888886</v>
      </c>
    </row>
    <row r="35" spans="2:18" x14ac:dyDescent="0.3">
      <c r="B35" s="60" t="s">
        <v>549</v>
      </c>
      <c r="C35" s="61">
        <v>0.37916666666666665</v>
      </c>
      <c r="D35" s="60" t="s">
        <v>540</v>
      </c>
      <c r="E35" s="61">
        <v>0.65208333333333335</v>
      </c>
      <c r="F35" s="61">
        <v>0.77222222222222225</v>
      </c>
      <c r="G35" s="60" t="s">
        <v>540</v>
      </c>
      <c r="H35" s="61">
        <v>0.9604166666666667</v>
      </c>
    </row>
    <row r="36" spans="2:18" x14ac:dyDescent="0.3">
      <c r="B36" s="60" t="s">
        <v>548</v>
      </c>
      <c r="C36" s="61">
        <v>0.38472222222222219</v>
      </c>
      <c r="D36" s="76">
        <v>0.5131944444444444</v>
      </c>
      <c r="E36" s="61">
        <v>0.65833333333333333</v>
      </c>
      <c r="F36" s="61">
        <v>0.77986111111111101</v>
      </c>
      <c r="G36" s="107">
        <v>0.8652777777777777</v>
      </c>
      <c r="H36" s="61">
        <v>0.96597222222222223</v>
      </c>
    </row>
    <row r="37" spans="2:18" x14ac:dyDescent="0.3">
      <c r="B37" s="60" t="s">
        <v>547</v>
      </c>
      <c r="C37" s="60" t="s">
        <v>539</v>
      </c>
      <c r="D37" s="61">
        <v>0.3923611111111111</v>
      </c>
      <c r="E37" s="60" t="s">
        <v>540</v>
      </c>
      <c r="F37" s="61">
        <v>0.66597222222222219</v>
      </c>
      <c r="G37" s="61">
        <v>0.78749999999999998</v>
      </c>
      <c r="H37" s="60" t="s">
        <v>540</v>
      </c>
    </row>
    <row r="38" spans="2:18" x14ac:dyDescent="0.3">
      <c r="B38" s="60" t="s">
        <v>546</v>
      </c>
      <c r="C38" s="60" t="s">
        <v>539</v>
      </c>
      <c r="D38" s="61">
        <v>0.3972222222222222</v>
      </c>
      <c r="E38" s="60" t="s">
        <v>540</v>
      </c>
      <c r="F38" s="61">
        <v>0.67083333333333339</v>
      </c>
      <c r="G38" s="61">
        <v>0.79236111111111107</v>
      </c>
      <c r="H38" s="60" t="s">
        <v>540</v>
      </c>
    </row>
    <row r="39" spans="2:18" x14ac:dyDescent="0.3">
      <c r="B39" s="60" t="s">
        <v>545</v>
      </c>
      <c r="C39" s="61">
        <v>0.40138888888888885</v>
      </c>
      <c r="D39" s="76">
        <v>0.52708333333333335</v>
      </c>
      <c r="E39" s="61">
        <v>0.67499999999999993</v>
      </c>
      <c r="F39" s="61">
        <v>0.79652777777777783</v>
      </c>
      <c r="G39" s="107">
        <v>0.87916666666666676</v>
      </c>
    </row>
    <row r="40" spans="2:18" x14ac:dyDescent="0.3">
      <c r="B40" s="60" t="s">
        <v>544</v>
      </c>
      <c r="C40" s="61">
        <v>0.40416666666666662</v>
      </c>
      <c r="D40" s="60" t="s">
        <v>540</v>
      </c>
      <c r="E40" s="61">
        <v>0.67847222222222225</v>
      </c>
      <c r="F40" s="61">
        <v>0.7993055555555556</v>
      </c>
      <c r="G40" s="60" t="s">
        <v>540</v>
      </c>
    </row>
    <row r="41" spans="2:18" x14ac:dyDescent="0.3">
      <c r="B41" s="60" t="s">
        <v>543</v>
      </c>
      <c r="C41" s="60" t="s">
        <v>539</v>
      </c>
      <c r="D41" s="61">
        <v>0.40902777777777777</v>
      </c>
      <c r="E41" s="60" t="s">
        <v>540</v>
      </c>
      <c r="F41" s="61">
        <v>0.68263888888888891</v>
      </c>
      <c r="G41" s="61">
        <v>0.8041666666666667</v>
      </c>
      <c r="H41" s="60" t="s">
        <v>540</v>
      </c>
    </row>
    <row r="42" spans="2:18" x14ac:dyDescent="0.3">
      <c r="B42" s="60" t="s">
        <v>542</v>
      </c>
      <c r="C42" s="61">
        <v>0.41666666666666669</v>
      </c>
      <c r="D42" s="76">
        <v>0.5395833333333333</v>
      </c>
      <c r="E42" s="61">
        <v>0.69027777777777777</v>
      </c>
      <c r="F42" s="61">
        <v>0.81180555555555556</v>
      </c>
      <c r="G42" s="107">
        <v>0.89166666666666661</v>
      </c>
    </row>
    <row r="43" spans="2:18" x14ac:dyDescent="0.3">
      <c r="B43" s="60" t="s">
        <v>541</v>
      </c>
      <c r="C43" s="60" t="s">
        <v>539</v>
      </c>
      <c r="D43" s="61">
        <v>0.42152777777777778</v>
      </c>
      <c r="E43" s="60" t="s">
        <v>540</v>
      </c>
      <c r="F43" s="61">
        <v>0.69513888888888886</v>
      </c>
      <c r="G43" s="61">
        <v>0.81666666666666676</v>
      </c>
      <c r="H43" s="60" t="s">
        <v>540</v>
      </c>
    </row>
    <row r="44" spans="2:18" x14ac:dyDescent="0.3">
      <c r="B44" s="60" t="s">
        <v>538</v>
      </c>
      <c r="C44" s="60" t="s">
        <v>539</v>
      </c>
      <c r="D44" s="61">
        <v>0.42638888888888887</v>
      </c>
      <c r="E44" s="60" t="s">
        <v>540</v>
      </c>
      <c r="F44" s="61">
        <v>0.7006944444444444</v>
      </c>
      <c r="G44" s="61">
        <v>0.82152777777777775</v>
      </c>
      <c r="H44" s="60" t="s">
        <v>540</v>
      </c>
    </row>
    <row r="45" spans="2:18" x14ac:dyDescent="0.3">
      <c r="B45" s="60" t="s">
        <v>537</v>
      </c>
      <c r="C45" s="61">
        <v>0.44027777777777777</v>
      </c>
      <c r="D45" s="76">
        <v>0.55902777777777779</v>
      </c>
      <c r="E45" s="61">
        <v>0.71250000000000002</v>
      </c>
      <c r="F45" s="61">
        <v>0.83333333333333337</v>
      </c>
      <c r="G45" s="107">
        <v>0.91111111111111109</v>
      </c>
    </row>
    <row r="46" spans="2:18" x14ac:dyDescent="0.3">
      <c r="B46" s="60" t="s">
        <v>588</v>
      </c>
      <c r="C46" s="60" t="s">
        <v>589</v>
      </c>
      <c r="D46" s="60" t="s">
        <v>590</v>
      </c>
      <c r="E46" s="60" t="s">
        <v>591</v>
      </c>
      <c r="F46" s="60" t="s">
        <v>592</v>
      </c>
      <c r="G46" s="60" t="s">
        <v>593</v>
      </c>
      <c r="H46" s="60" t="s">
        <v>594</v>
      </c>
      <c r="I46" s="60" t="s">
        <v>595</v>
      </c>
      <c r="J46" s="60" t="s">
        <v>596</v>
      </c>
      <c r="K46" s="60" t="s">
        <v>597</v>
      </c>
      <c r="L46" s="60" t="s">
        <v>598</v>
      </c>
      <c r="M46" s="60" t="s">
        <v>599</v>
      </c>
      <c r="N46" s="60" t="s">
        <v>587</v>
      </c>
      <c r="O46" s="60" t="s">
        <v>600</v>
      </c>
      <c r="P46" s="60" t="s">
        <v>531</v>
      </c>
      <c r="Q46" s="60" t="s">
        <v>601</v>
      </c>
      <c r="R46" s="60" t="s">
        <v>602</v>
      </c>
    </row>
    <row r="47" spans="2:18" x14ac:dyDescent="0.3">
      <c r="C47" s="60" t="s">
        <v>540</v>
      </c>
      <c r="D47" s="60" t="s">
        <v>610</v>
      </c>
      <c r="E47" s="60" t="s">
        <v>611</v>
      </c>
      <c r="F47" s="60" t="s">
        <v>531</v>
      </c>
      <c r="G47" s="60" t="s">
        <v>612</v>
      </c>
      <c r="H47" s="60" t="s">
        <v>613</v>
      </c>
    </row>
    <row r="48" spans="2:18" x14ac:dyDescent="0.3">
      <c r="B48" s="60" t="s">
        <v>583</v>
      </c>
      <c r="C48" s="60" t="s">
        <v>540</v>
      </c>
      <c r="D48" s="60" t="s">
        <v>614</v>
      </c>
      <c r="E48" s="60" t="s">
        <v>531</v>
      </c>
      <c r="F48" s="60" t="s">
        <v>615</v>
      </c>
      <c r="G48" s="60" t="s">
        <v>616</v>
      </c>
    </row>
    <row r="49" spans="2:30" x14ac:dyDescent="0.3">
      <c r="B49" s="60" t="s">
        <v>552</v>
      </c>
      <c r="C49" s="60" t="s">
        <v>540</v>
      </c>
      <c r="D49" s="60" t="s">
        <v>617</v>
      </c>
      <c r="E49" s="60" t="s">
        <v>593</v>
      </c>
      <c r="F49" s="60" t="s">
        <v>618</v>
      </c>
      <c r="G49" s="60" t="s">
        <v>619</v>
      </c>
      <c r="H49" s="60" t="s">
        <v>531</v>
      </c>
      <c r="I49" s="60" t="s">
        <v>620</v>
      </c>
      <c r="J49" s="60" t="s">
        <v>598</v>
      </c>
      <c r="K49" s="60" t="s">
        <v>621</v>
      </c>
      <c r="L49" s="60" t="s">
        <v>622</v>
      </c>
    </row>
    <row r="50" spans="2:30" x14ac:dyDescent="0.3">
      <c r="B50" s="60" t="s">
        <v>539</v>
      </c>
    </row>
    <row r="51" spans="2:30" x14ac:dyDescent="0.3">
      <c r="B51" s="60" t="s">
        <v>623</v>
      </c>
      <c r="C51" s="60" t="s">
        <v>624</v>
      </c>
      <c r="D51" s="60" t="s">
        <v>625</v>
      </c>
      <c r="E51" s="60" t="s">
        <v>626</v>
      </c>
      <c r="F51" s="60" t="s">
        <v>627</v>
      </c>
      <c r="G51" s="60" t="s">
        <v>591</v>
      </c>
      <c r="H51" s="60" t="s">
        <v>628</v>
      </c>
      <c r="I51" s="60" t="s">
        <v>629</v>
      </c>
      <c r="J51" s="60" t="s">
        <v>630</v>
      </c>
      <c r="K51" s="60" t="s">
        <v>631</v>
      </c>
      <c r="L51" s="60" t="s">
        <v>632</v>
      </c>
      <c r="M51" s="60" t="s">
        <v>628</v>
      </c>
      <c r="N51" s="60" t="s">
        <v>633</v>
      </c>
      <c r="O51" s="60" t="s">
        <v>634</v>
      </c>
      <c r="P51" s="60" t="s">
        <v>635</v>
      </c>
      <c r="Q51" s="60" t="s">
        <v>631</v>
      </c>
      <c r="R51" s="60" t="s">
        <v>636</v>
      </c>
      <c r="S51" s="60" t="s">
        <v>531</v>
      </c>
      <c r="T51" s="60" t="s">
        <v>637</v>
      </c>
      <c r="U51" s="60" t="s">
        <v>638</v>
      </c>
      <c r="V51" s="60" t="s">
        <v>602</v>
      </c>
      <c r="W51" s="60" t="s">
        <v>639</v>
      </c>
      <c r="X51" s="60" t="s">
        <v>640</v>
      </c>
      <c r="Y51" s="60" t="s">
        <v>641</v>
      </c>
      <c r="Z51" s="60" t="s">
        <v>638</v>
      </c>
      <c r="AA51" s="60" t="s">
        <v>642</v>
      </c>
      <c r="AB51" s="60" t="s">
        <v>643</v>
      </c>
      <c r="AC51" s="60" t="s">
        <v>638</v>
      </c>
      <c r="AD51" s="60" t="s">
        <v>602</v>
      </c>
    </row>
    <row r="52" spans="2:30" x14ac:dyDescent="0.3">
      <c r="B52" s="60" t="s">
        <v>644</v>
      </c>
      <c r="C52" s="60" t="s">
        <v>645</v>
      </c>
      <c r="D52" s="60" t="s">
        <v>646</v>
      </c>
      <c r="E52" s="60">
        <v>2</v>
      </c>
      <c r="F52" s="60" t="s">
        <v>533</v>
      </c>
      <c r="G52" s="60" t="s">
        <v>647</v>
      </c>
      <c r="H52" s="60" t="s">
        <v>648</v>
      </c>
      <c r="I52" s="60" t="s">
        <v>649</v>
      </c>
      <c r="J52" s="60" t="s">
        <v>650</v>
      </c>
      <c r="K52" s="60" t="s">
        <v>639</v>
      </c>
      <c r="L52" s="60" t="s">
        <v>595</v>
      </c>
      <c r="M52" s="60" t="s">
        <v>640</v>
      </c>
      <c r="N52" s="60" t="s">
        <v>535</v>
      </c>
      <c r="O52" s="60" t="s">
        <v>638</v>
      </c>
      <c r="P52" s="60" t="s">
        <v>602</v>
      </c>
      <c r="Q52" s="60" t="s">
        <v>651</v>
      </c>
      <c r="R52" s="60" t="s">
        <v>638</v>
      </c>
      <c r="S52" s="60" t="s">
        <v>652</v>
      </c>
      <c r="T52" s="60" t="s">
        <v>653</v>
      </c>
      <c r="U52" s="60" t="s">
        <v>654</v>
      </c>
      <c r="V52" s="60" t="s">
        <v>655</v>
      </c>
      <c r="W52" s="60" t="s">
        <v>656</v>
      </c>
      <c r="X52" s="60" t="s">
        <v>657</v>
      </c>
      <c r="Y52" s="60" t="s">
        <v>638</v>
      </c>
      <c r="Z52" s="60" t="s">
        <v>658</v>
      </c>
      <c r="AA52" s="60" t="s">
        <v>602</v>
      </c>
      <c r="AB52" s="60" t="s">
        <v>659</v>
      </c>
      <c r="AC52" s="60" t="s">
        <v>660</v>
      </c>
    </row>
    <row r="53" spans="2:30" x14ac:dyDescent="0.3">
      <c r="B53" s="106"/>
      <c r="C53" s="106"/>
    </row>
    <row r="54" spans="2:30" x14ac:dyDescent="0.3">
      <c r="B54" s="106"/>
      <c r="C54" s="130"/>
    </row>
    <row r="55" spans="2:30" x14ac:dyDescent="0.3">
      <c r="B55" s="106"/>
      <c r="C55" s="130"/>
    </row>
    <row r="56" spans="2:30" x14ac:dyDescent="0.3">
      <c r="B56" s="106"/>
      <c r="C56" s="130"/>
    </row>
    <row r="57" spans="2:30" x14ac:dyDescent="0.3">
      <c r="B57" s="106"/>
      <c r="C57" s="13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4D63E-DC38-4492-B335-9ABC89961F4A}">
  <sheetPr codeName="Sheet6"/>
  <dimension ref="A1:AT127"/>
  <sheetViews>
    <sheetView zoomScale="50" zoomScaleNormal="50" workbookViewId="0">
      <selection activeCell="W25" sqref="W25"/>
    </sheetView>
  </sheetViews>
  <sheetFormatPr defaultRowHeight="14.4" x14ac:dyDescent="0.3"/>
  <cols>
    <col min="1" max="1" width="8.88671875" style="60"/>
    <col min="2" max="2" width="13.5546875" style="60" bestFit="1" customWidth="1"/>
    <col min="3" max="16384" width="8.88671875" style="60"/>
  </cols>
  <sheetData>
    <row r="1" spans="1:46" x14ac:dyDescent="0.3">
      <c r="B1" s="60" t="s">
        <v>691</v>
      </c>
      <c r="C1" s="60" t="s">
        <v>692</v>
      </c>
      <c r="D1" s="60" t="s">
        <v>693</v>
      </c>
      <c r="E1" s="60" t="s">
        <v>529</v>
      </c>
      <c r="F1" s="60">
        <v>15</v>
      </c>
      <c r="G1" s="60" t="s">
        <v>530</v>
      </c>
      <c r="H1" s="60" t="s">
        <v>531</v>
      </c>
      <c r="I1" s="60" t="s">
        <v>694</v>
      </c>
      <c r="J1" s="60" t="s">
        <v>533</v>
      </c>
      <c r="K1" s="60" t="s">
        <v>534</v>
      </c>
      <c r="L1" s="60" t="s">
        <v>535</v>
      </c>
      <c r="M1" s="60">
        <v>15</v>
      </c>
      <c r="N1" s="60" t="s">
        <v>536</v>
      </c>
    </row>
    <row r="2" spans="1:46" x14ac:dyDescent="0.3">
      <c r="B2" s="60" t="s">
        <v>581</v>
      </c>
      <c r="C2" s="60" t="s">
        <v>582</v>
      </c>
      <c r="D2" s="60">
        <v>500</v>
      </c>
      <c r="E2" s="60" t="s">
        <v>583</v>
      </c>
      <c r="F2" s="60">
        <v>502</v>
      </c>
      <c r="G2" s="60" t="s">
        <v>583</v>
      </c>
      <c r="H2" s="60">
        <v>502</v>
      </c>
      <c r="I2" s="60" t="s">
        <v>552</v>
      </c>
      <c r="J2" s="60">
        <v>504</v>
      </c>
      <c r="K2" s="60" t="s">
        <v>583</v>
      </c>
      <c r="L2" s="60">
        <v>506</v>
      </c>
      <c r="M2" s="60">
        <v>508</v>
      </c>
      <c r="N2" s="60" t="s">
        <v>583</v>
      </c>
      <c r="O2" s="60">
        <v>510</v>
      </c>
      <c r="P2" s="60">
        <v>706</v>
      </c>
      <c r="Q2" s="60" t="s">
        <v>583</v>
      </c>
      <c r="R2" s="60">
        <v>512</v>
      </c>
      <c r="S2" s="60">
        <v>514</v>
      </c>
      <c r="T2" s="60" t="s">
        <v>583</v>
      </c>
      <c r="U2" s="60">
        <v>516</v>
      </c>
      <c r="V2" s="60" t="s">
        <v>583</v>
      </c>
      <c r="W2" s="60">
        <v>518</v>
      </c>
      <c r="X2" s="60" t="s">
        <v>583</v>
      </c>
      <c r="Y2" s="60">
        <v>518</v>
      </c>
      <c r="Z2" s="60" t="s">
        <v>552</v>
      </c>
      <c r="AA2" s="60">
        <v>520</v>
      </c>
      <c r="AB2" s="60">
        <v>522</v>
      </c>
      <c r="AC2" s="60" t="s">
        <v>583</v>
      </c>
      <c r="AD2" s="60">
        <v>522</v>
      </c>
      <c r="AE2" s="60" t="s">
        <v>552</v>
      </c>
      <c r="AF2" s="60">
        <v>524</v>
      </c>
      <c r="AG2" s="60" t="s">
        <v>583</v>
      </c>
      <c r="AH2" s="60">
        <v>526</v>
      </c>
      <c r="AI2" s="60">
        <v>528</v>
      </c>
      <c r="AJ2" s="60" t="s">
        <v>583</v>
      </c>
      <c r="AK2" s="60">
        <v>530</v>
      </c>
      <c r="AL2" s="60">
        <v>532</v>
      </c>
      <c r="AM2" s="60">
        <v>534</v>
      </c>
      <c r="AN2" s="60">
        <v>710</v>
      </c>
      <c r="AO2" s="60">
        <v>536</v>
      </c>
      <c r="AP2" s="60">
        <v>538</v>
      </c>
      <c r="AQ2" s="60">
        <v>712</v>
      </c>
      <c r="AR2" s="60">
        <v>540</v>
      </c>
      <c r="AS2" s="60">
        <v>542</v>
      </c>
      <c r="AT2" s="60">
        <v>544</v>
      </c>
    </row>
    <row r="3" spans="1:46" x14ac:dyDescent="0.3">
      <c r="B3" s="60" t="s">
        <v>687</v>
      </c>
      <c r="C3" s="61">
        <v>0.26458333333333334</v>
      </c>
      <c r="D3" s="103">
        <v>0.2951388888888889</v>
      </c>
      <c r="E3" s="104">
        <v>0.3354166666666667</v>
      </c>
      <c r="F3" s="61">
        <v>0.39097222222222222</v>
      </c>
      <c r="G3" s="61">
        <v>0.42430555555555555</v>
      </c>
      <c r="H3" s="61">
        <v>0.47847222222222219</v>
      </c>
    </row>
    <row r="4" spans="1:46" x14ac:dyDescent="0.3">
      <c r="B4" s="60" t="s">
        <v>684</v>
      </c>
      <c r="C4" s="61">
        <v>0.26874999999999999</v>
      </c>
      <c r="D4" s="103">
        <v>0.29930555555555555</v>
      </c>
      <c r="E4" s="103">
        <v>0.33958333333333335</v>
      </c>
      <c r="F4" s="104">
        <v>0.33958333333333335</v>
      </c>
      <c r="G4" s="61">
        <v>0.39513888888888887</v>
      </c>
      <c r="H4" s="61">
        <v>0.4284722222222222</v>
      </c>
      <c r="I4" s="61">
        <v>0.4826388888888889</v>
      </c>
    </row>
    <row r="5" spans="1:46" x14ac:dyDescent="0.3">
      <c r="B5" s="60" t="s">
        <v>664</v>
      </c>
      <c r="C5" s="60" t="s">
        <v>539</v>
      </c>
      <c r="D5" s="61">
        <v>0.27152777777777776</v>
      </c>
      <c r="E5" s="60" t="s">
        <v>540</v>
      </c>
      <c r="F5" s="103">
        <v>0.34236111111111112</v>
      </c>
      <c r="G5" s="104">
        <v>0.34236111111111112</v>
      </c>
      <c r="H5" s="60" t="s">
        <v>540</v>
      </c>
      <c r="I5" s="61">
        <v>0.43124999999999997</v>
      </c>
      <c r="J5" s="60" t="s">
        <v>540</v>
      </c>
    </row>
    <row r="6" spans="1:46" x14ac:dyDescent="0.3">
      <c r="B6" s="60" t="s">
        <v>674</v>
      </c>
      <c r="C6" s="61">
        <v>0.27430555555555552</v>
      </c>
      <c r="D6" s="103">
        <v>0.30416666666666664</v>
      </c>
      <c r="E6" s="103">
        <v>0.34513888888888888</v>
      </c>
      <c r="F6" s="104">
        <v>0.34513888888888888</v>
      </c>
      <c r="G6" s="61">
        <v>0.39999999999999997</v>
      </c>
      <c r="H6" s="61">
        <v>0.43402777777777773</v>
      </c>
      <c r="I6" s="61">
        <v>0.48749999999999999</v>
      </c>
    </row>
    <row r="7" spans="1:46" x14ac:dyDescent="0.3">
      <c r="B7" s="60" t="s">
        <v>667</v>
      </c>
      <c r="C7" s="61">
        <v>0.27638888888888885</v>
      </c>
      <c r="D7" s="103">
        <v>0.30624999999999997</v>
      </c>
      <c r="E7" s="103">
        <v>0.34722222222222227</v>
      </c>
      <c r="F7" s="104">
        <v>0.34722222222222227</v>
      </c>
      <c r="G7" s="61">
        <v>0.40208333333333335</v>
      </c>
      <c r="H7" s="61">
        <v>0.43611111111111112</v>
      </c>
      <c r="I7" s="61">
        <v>0.48958333333333331</v>
      </c>
    </row>
    <row r="8" spans="1:46" x14ac:dyDescent="0.3">
      <c r="B8" s="60" t="s">
        <v>690</v>
      </c>
      <c r="C8" s="61">
        <v>0.27847222222222223</v>
      </c>
      <c r="D8" s="103">
        <v>0.30833333333333335</v>
      </c>
      <c r="E8" s="103">
        <v>0.34930555555555554</v>
      </c>
      <c r="F8" s="104">
        <v>0.34930555555555554</v>
      </c>
      <c r="G8" s="61">
        <v>0.40486111111111112</v>
      </c>
      <c r="H8" s="61">
        <v>0.4381944444444445</v>
      </c>
      <c r="I8" s="61">
        <v>0.4916666666666667</v>
      </c>
    </row>
    <row r="9" spans="1:46" x14ac:dyDescent="0.3">
      <c r="A9" s="108"/>
      <c r="B9" s="108" t="s">
        <v>672</v>
      </c>
      <c r="C9" s="108" t="s">
        <v>539</v>
      </c>
      <c r="D9" s="109">
        <v>0.28194444444444444</v>
      </c>
      <c r="E9" s="110">
        <v>0.31180555555555556</v>
      </c>
      <c r="F9" s="110">
        <v>0.3527777777777778</v>
      </c>
      <c r="G9" s="111">
        <v>0.3527777777777778</v>
      </c>
      <c r="H9" s="109">
        <v>0.40833333333333338</v>
      </c>
      <c r="I9" s="109">
        <v>0.44166666666666665</v>
      </c>
      <c r="J9" s="109">
        <v>0.49513888888888885</v>
      </c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08"/>
    </row>
    <row r="10" spans="1:46" x14ac:dyDescent="0.3">
      <c r="B10" s="60" t="s">
        <v>680</v>
      </c>
      <c r="C10" s="61">
        <v>0.24166666666666667</v>
      </c>
      <c r="D10" s="61">
        <v>0.28194444444444444</v>
      </c>
      <c r="E10" s="61">
        <v>0.3263888888888889</v>
      </c>
      <c r="F10" s="61">
        <v>0.3666666666666667</v>
      </c>
      <c r="G10" s="61">
        <v>0.41180555555555554</v>
      </c>
      <c r="H10" s="61">
        <v>0.45624999999999999</v>
      </c>
      <c r="I10" s="61">
        <v>0.50416666666666665</v>
      </c>
    </row>
    <row r="11" spans="1:46" x14ac:dyDescent="0.3">
      <c r="B11" s="60" t="s">
        <v>675</v>
      </c>
      <c r="C11" s="60" t="s">
        <v>539</v>
      </c>
      <c r="D11" s="61">
        <v>0.24513888888888888</v>
      </c>
      <c r="E11" s="61">
        <v>0.28541666666666665</v>
      </c>
      <c r="F11" s="61">
        <v>0.3298611111111111</v>
      </c>
      <c r="G11" s="61">
        <v>0.37013888888888885</v>
      </c>
      <c r="H11" s="61">
        <v>0.4152777777777778</v>
      </c>
      <c r="I11" s="61">
        <v>0.4597222222222222</v>
      </c>
      <c r="J11" s="61">
        <v>0.50763888888888886</v>
      </c>
    </row>
    <row r="12" spans="1:46" x14ac:dyDescent="0.3">
      <c r="B12" s="60" t="s">
        <v>681</v>
      </c>
      <c r="C12" s="60" t="s">
        <v>539</v>
      </c>
      <c r="D12" s="61">
        <v>0.24652777777777779</v>
      </c>
      <c r="E12" s="61">
        <v>0.28680555555555554</v>
      </c>
      <c r="F12" s="61">
        <v>0.33124999999999999</v>
      </c>
      <c r="G12" s="61">
        <v>0.37152777777777773</v>
      </c>
      <c r="H12" s="61">
        <v>0.41666666666666669</v>
      </c>
      <c r="I12" s="61">
        <v>0.46111111111111108</v>
      </c>
      <c r="J12" s="61">
        <v>0.50902777777777775</v>
      </c>
    </row>
    <row r="13" spans="1:46" x14ac:dyDescent="0.3">
      <c r="B13" s="60" t="s">
        <v>670</v>
      </c>
      <c r="C13" s="61">
        <v>0.24861111111111112</v>
      </c>
      <c r="D13" s="61">
        <v>0.28888888888888892</v>
      </c>
      <c r="E13" s="61">
        <v>0.33333333333333331</v>
      </c>
      <c r="F13" s="61">
        <v>0.37361111111111112</v>
      </c>
      <c r="G13" s="61">
        <v>0.41875000000000001</v>
      </c>
      <c r="H13" s="61">
        <v>0.46319444444444446</v>
      </c>
      <c r="I13" s="61">
        <v>0.51111111111111118</v>
      </c>
    </row>
    <row r="14" spans="1:46" x14ac:dyDescent="0.3">
      <c r="B14" s="60" t="s">
        <v>671</v>
      </c>
      <c r="C14" s="60" t="s">
        <v>695</v>
      </c>
      <c r="D14" s="60" t="s">
        <v>695</v>
      </c>
      <c r="E14" s="103">
        <v>0.29583333333333334</v>
      </c>
      <c r="F14" s="104">
        <v>0.31944444444444448</v>
      </c>
      <c r="G14" s="60" t="s">
        <v>695</v>
      </c>
      <c r="H14" s="60" t="s">
        <v>695</v>
      </c>
      <c r="I14" s="60" t="s">
        <v>695</v>
      </c>
      <c r="J14" s="60" t="s">
        <v>695</v>
      </c>
      <c r="K14" s="60" t="s">
        <v>695</v>
      </c>
      <c r="L14" s="61">
        <v>0.52916666666666667</v>
      </c>
    </row>
    <row r="15" spans="1:46" x14ac:dyDescent="0.3">
      <c r="B15" s="60" t="s">
        <v>669</v>
      </c>
      <c r="C15" s="61">
        <v>0.25138888888888888</v>
      </c>
      <c r="D15" s="61">
        <v>0.29236111111111113</v>
      </c>
      <c r="E15" s="103">
        <v>0.29930555555555555</v>
      </c>
      <c r="F15" s="104">
        <v>0.32291666666666669</v>
      </c>
      <c r="G15" s="61">
        <v>0.33680555555555558</v>
      </c>
      <c r="H15" s="61">
        <v>0.37708333333333338</v>
      </c>
      <c r="I15" s="61">
        <v>0.42152777777777778</v>
      </c>
      <c r="J15" s="61">
        <v>0.46597222222222223</v>
      </c>
      <c r="K15" s="61">
        <v>0.51388888888888895</v>
      </c>
      <c r="L15" s="61">
        <v>0.53333333333333333</v>
      </c>
    </row>
    <row r="16" spans="1:46" x14ac:dyDescent="0.3">
      <c r="B16" s="60" t="s">
        <v>677</v>
      </c>
      <c r="C16" s="61">
        <v>0.25416666666666665</v>
      </c>
      <c r="D16" s="61">
        <v>0.2951388888888889</v>
      </c>
      <c r="E16" s="103">
        <v>0.30208333333333331</v>
      </c>
      <c r="F16" s="104">
        <v>0.32569444444444445</v>
      </c>
      <c r="G16" s="61">
        <v>0.33958333333333335</v>
      </c>
      <c r="H16" s="61">
        <v>0.37986111111111115</v>
      </c>
      <c r="I16" s="61">
        <v>0.42430555555555555</v>
      </c>
      <c r="J16" s="61">
        <v>0.46875</v>
      </c>
      <c r="K16" s="61">
        <v>0.51666666666666672</v>
      </c>
      <c r="L16" s="61">
        <v>0.53611111111111109</v>
      </c>
    </row>
    <row r="17" spans="2:31" x14ac:dyDescent="0.3">
      <c r="B17" s="60" t="s">
        <v>666</v>
      </c>
      <c r="C17" s="103">
        <v>0.22777777777777777</v>
      </c>
      <c r="D17" s="61">
        <v>0.25763888888888892</v>
      </c>
      <c r="E17" s="103">
        <v>0.27152777777777776</v>
      </c>
      <c r="F17" s="61">
        <v>0.28472222222222221</v>
      </c>
      <c r="G17" s="61">
        <v>0.2986111111111111</v>
      </c>
      <c r="H17" s="103">
        <v>0.30555555555555552</v>
      </c>
      <c r="I17" s="103">
        <v>0.31527777777777777</v>
      </c>
      <c r="J17" s="103">
        <v>0.3298611111111111</v>
      </c>
      <c r="K17" s="104">
        <v>0.3298611111111111</v>
      </c>
      <c r="L17" s="61">
        <v>0.3430555555555555</v>
      </c>
      <c r="M17" s="103">
        <v>0.35625000000000001</v>
      </c>
      <c r="N17" s="104">
        <v>0.35625000000000001</v>
      </c>
      <c r="O17" s="103">
        <v>0.37013888888888885</v>
      </c>
      <c r="P17" s="61">
        <v>0.3833333333333333</v>
      </c>
      <c r="Q17" s="103">
        <v>0.3972222222222222</v>
      </c>
      <c r="R17" s="61">
        <v>0.41111111111111115</v>
      </c>
      <c r="S17" s="61">
        <v>0.4284722222222222</v>
      </c>
      <c r="T17" s="61">
        <v>0.44513888888888892</v>
      </c>
      <c r="U17" s="61">
        <v>0.47291666666666665</v>
      </c>
      <c r="V17" s="61">
        <v>0.49861111111111112</v>
      </c>
      <c r="W17" s="61">
        <v>0.52013888888888882</v>
      </c>
      <c r="X17" s="61">
        <v>0.5395833333333333</v>
      </c>
    </row>
    <row r="18" spans="2:31" x14ac:dyDescent="0.3">
      <c r="B18" s="60" t="s">
        <v>689</v>
      </c>
      <c r="C18" s="103">
        <v>0.23055555555555554</v>
      </c>
      <c r="D18" s="61">
        <v>0.26041666666666669</v>
      </c>
      <c r="E18" s="103">
        <v>0.27430555555555552</v>
      </c>
      <c r="F18" s="61">
        <v>0.28750000000000003</v>
      </c>
      <c r="G18" s="61">
        <v>0.30138888888888887</v>
      </c>
      <c r="H18" s="103">
        <v>0.30833333333333335</v>
      </c>
      <c r="I18" s="103">
        <v>0.31805555555555554</v>
      </c>
      <c r="J18" s="103">
        <v>0.33263888888888887</v>
      </c>
      <c r="K18" s="104">
        <v>0.33263888888888887</v>
      </c>
      <c r="L18" s="61">
        <v>0.34583333333333338</v>
      </c>
      <c r="M18" s="103">
        <v>0.35902777777777778</v>
      </c>
      <c r="N18" s="104">
        <v>0.35902777777777778</v>
      </c>
      <c r="O18" s="103">
        <v>0.37291666666666662</v>
      </c>
      <c r="P18" s="61">
        <v>0.38611111111111113</v>
      </c>
      <c r="Q18" s="103">
        <v>0.39999999999999997</v>
      </c>
      <c r="R18" s="61">
        <v>0.41388888888888892</v>
      </c>
      <c r="S18" s="61">
        <v>0.43124999999999997</v>
      </c>
      <c r="T18" s="61">
        <v>0.44791666666666669</v>
      </c>
      <c r="U18" s="61">
        <v>0.47569444444444442</v>
      </c>
      <c r="V18" s="61">
        <v>0.50138888888888888</v>
      </c>
      <c r="W18" s="61">
        <v>0.5229166666666667</v>
      </c>
      <c r="X18" s="61">
        <v>0.54236111111111118</v>
      </c>
    </row>
    <row r="19" spans="2:31" x14ac:dyDescent="0.3">
      <c r="B19" s="60" t="s">
        <v>685</v>
      </c>
      <c r="C19" s="103">
        <v>0.23333333333333331</v>
      </c>
      <c r="D19" s="61">
        <v>0.26319444444444445</v>
      </c>
      <c r="E19" s="103">
        <v>0.27708333333333335</v>
      </c>
      <c r="F19" s="61">
        <v>0.2902777777777778</v>
      </c>
      <c r="G19" s="61">
        <v>0.30416666666666664</v>
      </c>
      <c r="H19" s="103">
        <v>0.31111111111111112</v>
      </c>
      <c r="I19" s="103">
        <v>0.32083333333333336</v>
      </c>
      <c r="J19" s="103">
        <v>0.3354166666666667</v>
      </c>
      <c r="K19" s="104">
        <v>0.3354166666666667</v>
      </c>
      <c r="L19" s="61">
        <v>0.34861111111111115</v>
      </c>
      <c r="M19" s="103">
        <v>0.36180555555555555</v>
      </c>
      <c r="N19" s="104">
        <v>0.36180555555555555</v>
      </c>
      <c r="O19" s="103">
        <v>0.3756944444444445</v>
      </c>
      <c r="P19" s="61">
        <v>0.3888888888888889</v>
      </c>
      <c r="Q19" s="103">
        <v>0.40277777777777773</v>
      </c>
      <c r="R19" s="61">
        <v>0.41666666666666669</v>
      </c>
      <c r="S19" s="61">
        <v>0.43402777777777773</v>
      </c>
      <c r="T19" s="61">
        <v>0.45069444444444445</v>
      </c>
      <c r="U19" s="61">
        <v>0.47847222222222219</v>
      </c>
      <c r="V19" s="61">
        <v>0.50416666666666665</v>
      </c>
      <c r="W19" s="61">
        <v>0.52569444444444446</v>
      </c>
      <c r="X19" s="61">
        <v>0.54513888888888895</v>
      </c>
    </row>
    <row r="20" spans="2:31" x14ac:dyDescent="0.3">
      <c r="B20" s="60" t="s">
        <v>679</v>
      </c>
      <c r="C20" s="60" t="s">
        <v>539</v>
      </c>
      <c r="D20" s="60" t="s">
        <v>540</v>
      </c>
      <c r="E20" s="60" t="s">
        <v>540</v>
      </c>
      <c r="F20" s="60" t="s">
        <v>540</v>
      </c>
      <c r="G20" s="61">
        <v>0.29236111111111113</v>
      </c>
      <c r="H20" s="60" t="s">
        <v>540</v>
      </c>
      <c r="I20" s="60" t="s">
        <v>540</v>
      </c>
      <c r="J20" s="103">
        <v>0.32291666666666669</v>
      </c>
      <c r="K20" s="60" t="s">
        <v>540</v>
      </c>
      <c r="L20" s="60" t="s">
        <v>540</v>
      </c>
      <c r="M20" s="60" t="s">
        <v>540</v>
      </c>
      <c r="N20" s="103">
        <v>0.36388888888888887</v>
      </c>
      <c r="O20" s="104">
        <v>0.36388888888888887</v>
      </c>
      <c r="P20" s="60" t="s">
        <v>540</v>
      </c>
      <c r="Q20" s="60" t="s">
        <v>540</v>
      </c>
      <c r="R20" s="60" t="s">
        <v>540</v>
      </c>
      <c r="S20" s="61">
        <v>0.41875000000000001</v>
      </c>
      <c r="T20" s="60" t="s">
        <v>540</v>
      </c>
      <c r="U20" s="61">
        <v>0.45277777777777778</v>
      </c>
      <c r="V20" s="60" t="s">
        <v>540</v>
      </c>
      <c r="W20" s="61">
        <v>0.50624999999999998</v>
      </c>
      <c r="X20" s="60" t="s">
        <v>540</v>
      </c>
      <c r="Y20" s="60" t="s">
        <v>540</v>
      </c>
    </row>
    <row r="21" spans="2:31" x14ac:dyDescent="0.3">
      <c r="B21" s="60" t="s">
        <v>688</v>
      </c>
      <c r="C21" s="103">
        <v>0.23611111111111113</v>
      </c>
      <c r="D21" s="61">
        <v>0.26597222222222222</v>
      </c>
      <c r="E21" s="103">
        <v>0.27986111111111112</v>
      </c>
      <c r="F21" s="61">
        <v>0.29375000000000001</v>
      </c>
      <c r="G21" s="61">
        <v>0.30694444444444441</v>
      </c>
      <c r="H21" s="103">
        <v>0.31388888888888888</v>
      </c>
      <c r="I21" s="103">
        <v>0.32430555555555557</v>
      </c>
      <c r="J21" s="103">
        <v>0.33819444444444446</v>
      </c>
      <c r="K21" s="104">
        <v>0.33819444444444446</v>
      </c>
      <c r="L21" s="61">
        <v>0.35138888888888892</v>
      </c>
      <c r="M21" s="103">
        <v>0.36527777777777781</v>
      </c>
      <c r="N21" s="104">
        <v>0.36527777777777781</v>
      </c>
      <c r="O21" s="103">
        <v>0.37847222222222227</v>
      </c>
      <c r="P21" s="61">
        <v>0.39166666666666666</v>
      </c>
      <c r="Q21" s="103">
        <v>0.4055555555555555</v>
      </c>
      <c r="R21" s="61">
        <v>0.4201388888888889</v>
      </c>
      <c r="S21" s="61">
        <v>0.4368055555555555</v>
      </c>
      <c r="T21" s="61">
        <v>0.45416666666666666</v>
      </c>
      <c r="U21" s="61">
        <v>0.48125000000000001</v>
      </c>
      <c r="V21" s="61">
        <v>0.50763888888888886</v>
      </c>
      <c r="W21" s="61">
        <v>0.52847222222222223</v>
      </c>
      <c r="X21" s="61">
        <v>0.54791666666666672</v>
      </c>
    </row>
    <row r="22" spans="2:31" x14ac:dyDescent="0.3">
      <c r="B22" s="60" t="s">
        <v>673</v>
      </c>
      <c r="C22" s="103">
        <v>0.23750000000000002</v>
      </c>
      <c r="D22" s="61">
        <v>0.2673611111111111</v>
      </c>
      <c r="E22" s="103">
        <v>0.28125</v>
      </c>
      <c r="F22" s="61">
        <v>0.2951388888888889</v>
      </c>
      <c r="G22" s="61">
        <v>0.30833333333333335</v>
      </c>
      <c r="H22" s="103">
        <v>0.31527777777777777</v>
      </c>
      <c r="I22" s="103">
        <v>0.32569444444444445</v>
      </c>
      <c r="J22" s="103">
        <v>0.33958333333333335</v>
      </c>
      <c r="K22" s="104">
        <v>0.33958333333333335</v>
      </c>
      <c r="L22" s="61">
        <v>0.3527777777777778</v>
      </c>
      <c r="M22" s="103">
        <v>0.3666666666666667</v>
      </c>
      <c r="N22" s="104">
        <v>0.3666666666666667</v>
      </c>
      <c r="O22" s="103">
        <v>0.37986111111111115</v>
      </c>
      <c r="P22" s="61">
        <v>0.39305555555555555</v>
      </c>
      <c r="Q22" s="103">
        <v>0.4069444444444445</v>
      </c>
      <c r="R22" s="61">
        <v>0.42152777777777778</v>
      </c>
      <c r="S22" s="61">
        <v>0.4381944444444445</v>
      </c>
      <c r="T22" s="61">
        <v>0.45555555555555555</v>
      </c>
      <c r="U22" s="61">
        <v>0.4826388888888889</v>
      </c>
      <c r="V22" s="61">
        <v>0.50902777777777775</v>
      </c>
      <c r="W22" s="61">
        <v>0.52986111111111112</v>
      </c>
      <c r="X22" s="61">
        <v>0.5493055555555556</v>
      </c>
    </row>
    <row r="23" spans="2:31" x14ac:dyDescent="0.3">
      <c r="B23" s="60" t="s">
        <v>682</v>
      </c>
      <c r="C23" s="103">
        <v>0.22569444444444445</v>
      </c>
      <c r="D23" s="103">
        <v>0.23958333333333334</v>
      </c>
      <c r="E23" s="104">
        <v>0.23958333333333334</v>
      </c>
      <c r="F23" s="103">
        <v>0.25486111111111109</v>
      </c>
      <c r="G23" s="61">
        <v>0.26944444444444443</v>
      </c>
      <c r="H23" s="103">
        <v>0.28333333333333333</v>
      </c>
      <c r="I23" s="61">
        <v>0.29722222222222222</v>
      </c>
      <c r="J23" s="103">
        <v>0.3034722222222222</v>
      </c>
      <c r="K23" s="61">
        <v>0.31041666666666667</v>
      </c>
      <c r="L23" s="103">
        <v>0.31736111111111115</v>
      </c>
      <c r="M23" s="103">
        <v>0.32777777777777778</v>
      </c>
      <c r="N23" s="103">
        <v>0.34166666666666662</v>
      </c>
      <c r="O23" s="104">
        <v>0.34166666666666662</v>
      </c>
      <c r="P23" s="61">
        <v>0.35486111111111113</v>
      </c>
      <c r="Q23" s="103">
        <v>0.36874999999999997</v>
      </c>
      <c r="R23" s="104">
        <v>0.36874999999999997</v>
      </c>
      <c r="S23" s="103">
        <v>0.38194444444444442</v>
      </c>
      <c r="T23" s="61">
        <v>0.39513888888888887</v>
      </c>
      <c r="U23" s="103">
        <v>0.40902777777777777</v>
      </c>
      <c r="V23" s="61">
        <v>0.4236111111111111</v>
      </c>
      <c r="W23" s="61">
        <v>0.44027777777777777</v>
      </c>
      <c r="X23" s="61">
        <v>0.45763888888888887</v>
      </c>
      <c r="Y23" s="61">
        <v>0.46666666666666662</v>
      </c>
      <c r="Z23" s="61">
        <v>0.48472222222222222</v>
      </c>
      <c r="AA23" s="61">
        <v>0.51111111111111118</v>
      </c>
      <c r="AB23" s="61">
        <v>0.52430555555555558</v>
      </c>
      <c r="AC23" s="61">
        <v>0.53194444444444444</v>
      </c>
      <c r="AD23" s="61">
        <v>0.53888888888888886</v>
      </c>
      <c r="AE23" s="61">
        <v>0.55138888888888882</v>
      </c>
    </row>
    <row r="24" spans="2:31" x14ac:dyDescent="0.3">
      <c r="B24" s="60" t="s">
        <v>668</v>
      </c>
      <c r="C24" s="103">
        <v>0.22708333333333333</v>
      </c>
      <c r="D24" s="103">
        <v>0.24097222222222223</v>
      </c>
      <c r="E24" s="104">
        <v>0.24097222222222223</v>
      </c>
      <c r="F24" s="103">
        <v>0.25625000000000003</v>
      </c>
      <c r="G24" s="61">
        <v>0.27083333333333331</v>
      </c>
      <c r="H24" s="103">
        <v>0.28472222222222221</v>
      </c>
      <c r="I24" s="61">
        <v>0.2986111111111111</v>
      </c>
      <c r="J24" s="103">
        <v>0.30486111111111108</v>
      </c>
      <c r="K24" s="61">
        <v>0.31180555555555556</v>
      </c>
      <c r="L24" s="103">
        <v>0.31875000000000003</v>
      </c>
      <c r="M24" s="103">
        <v>0.32916666666666666</v>
      </c>
      <c r="N24" s="103">
        <v>0.3430555555555555</v>
      </c>
      <c r="O24" s="104">
        <v>0.3430555555555555</v>
      </c>
      <c r="P24" s="61">
        <v>0.35625000000000001</v>
      </c>
      <c r="Q24" s="103">
        <v>0.37013888888888885</v>
      </c>
      <c r="R24" s="104">
        <v>0.37013888888888885</v>
      </c>
      <c r="S24" s="103">
        <v>0.3833333333333333</v>
      </c>
      <c r="T24" s="61">
        <v>0.39652777777777781</v>
      </c>
      <c r="U24" s="103">
        <v>0.41041666666666665</v>
      </c>
      <c r="V24" s="61">
        <v>0.42499999999999999</v>
      </c>
      <c r="W24" s="61">
        <v>0.44166666666666665</v>
      </c>
      <c r="X24" s="61">
        <v>0.45902777777777781</v>
      </c>
      <c r="Y24" s="61">
        <v>0.4680555555555555</v>
      </c>
      <c r="Z24" s="61">
        <v>0.4861111111111111</v>
      </c>
      <c r="AA24" s="61">
        <v>0.51250000000000007</v>
      </c>
      <c r="AB24" s="61">
        <v>0.52569444444444446</v>
      </c>
      <c r="AC24" s="61">
        <v>0.53333333333333333</v>
      </c>
      <c r="AD24" s="61">
        <v>0.54027777777777775</v>
      </c>
      <c r="AE24" s="61">
        <v>0.55277777777777781</v>
      </c>
    </row>
    <row r="25" spans="2:31" x14ac:dyDescent="0.3">
      <c r="B25" s="60" t="s">
        <v>663</v>
      </c>
      <c r="C25" s="103">
        <v>0.22847222222222222</v>
      </c>
      <c r="D25" s="103">
        <v>0.24236111111111111</v>
      </c>
      <c r="E25" s="104">
        <v>0.24236111111111111</v>
      </c>
      <c r="F25" s="103">
        <v>0.25763888888888892</v>
      </c>
      <c r="G25" s="61">
        <v>0.2722222222222222</v>
      </c>
      <c r="H25" s="103">
        <v>0.28611111111111115</v>
      </c>
      <c r="I25" s="61">
        <v>0.3</v>
      </c>
      <c r="J25" s="103">
        <v>0.30624999999999997</v>
      </c>
      <c r="K25" s="61">
        <v>0.31319444444444444</v>
      </c>
      <c r="L25" s="103">
        <v>0.32013888888888892</v>
      </c>
      <c r="M25" s="103">
        <v>0.33055555555555555</v>
      </c>
      <c r="N25" s="103">
        <v>0.3444444444444445</v>
      </c>
      <c r="O25" s="104">
        <v>0.3444444444444445</v>
      </c>
      <c r="P25" s="61">
        <v>0.3576388888888889</v>
      </c>
      <c r="Q25" s="103">
        <v>0.37152777777777773</v>
      </c>
      <c r="R25" s="104">
        <v>0.37152777777777773</v>
      </c>
      <c r="S25" s="103">
        <v>0.38472222222222219</v>
      </c>
      <c r="T25" s="61">
        <v>0.3979166666666667</v>
      </c>
      <c r="U25" s="103">
        <v>0.41180555555555554</v>
      </c>
      <c r="V25" s="61">
        <v>0.42638888888888887</v>
      </c>
      <c r="W25" s="61">
        <v>0.44305555555555554</v>
      </c>
      <c r="X25" s="61">
        <v>0.4604166666666667</v>
      </c>
      <c r="Y25" s="61">
        <v>0.4694444444444445</v>
      </c>
      <c r="Z25" s="61">
        <v>0.48749999999999999</v>
      </c>
      <c r="AA25" s="61">
        <v>0.51388888888888895</v>
      </c>
      <c r="AB25" s="61">
        <v>0.52708333333333335</v>
      </c>
      <c r="AC25" s="61">
        <v>0.53472222222222221</v>
      </c>
      <c r="AD25" s="61">
        <v>0.54166666666666663</v>
      </c>
      <c r="AE25" s="61">
        <v>0.5541666666666667</v>
      </c>
    </row>
    <row r="26" spans="2:31" x14ac:dyDescent="0.3">
      <c r="B26" s="60" t="s">
        <v>678</v>
      </c>
      <c r="C26" s="103">
        <v>0.2298611111111111</v>
      </c>
      <c r="D26" s="103">
        <v>0.24374999999999999</v>
      </c>
      <c r="E26" s="104">
        <v>0.24374999999999999</v>
      </c>
      <c r="F26" s="103">
        <v>0.2590277777777778</v>
      </c>
      <c r="G26" s="61">
        <v>0.27361111111111108</v>
      </c>
      <c r="H26" s="103">
        <v>0.28750000000000003</v>
      </c>
      <c r="I26" s="61">
        <v>0.30138888888888887</v>
      </c>
      <c r="J26" s="103">
        <v>0.30763888888888891</v>
      </c>
      <c r="K26" s="61">
        <v>0.31458333333333333</v>
      </c>
      <c r="L26" s="103">
        <v>0.3215277777777778</v>
      </c>
      <c r="M26" s="103">
        <v>0.33194444444444443</v>
      </c>
      <c r="N26" s="103">
        <v>0.34583333333333338</v>
      </c>
      <c r="O26" s="104">
        <v>0.34583333333333338</v>
      </c>
      <c r="P26" s="61">
        <v>0.35902777777777778</v>
      </c>
      <c r="Q26" s="103">
        <v>0.37291666666666662</v>
      </c>
      <c r="R26" s="104">
        <v>0.37291666666666662</v>
      </c>
      <c r="S26" s="103">
        <v>0.38611111111111113</v>
      </c>
      <c r="T26" s="61">
        <v>0.39930555555555558</v>
      </c>
      <c r="U26" s="103">
        <v>0.41319444444444442</v>
      </c>
      <c r="V26" s="61">
        <v>0.42777777777777781</v>
      </c>
      <c r="W26" s="61">
        <v>0.44444444444444442</v>
      </c>
      <c r="X26" s="61">
        <v>0.46180555555555558</v>
      </c>
      <c r="Y26" s="61">
        <v>0.47083333333333338</v>
      </c>
      <c r="Z26" s="61">
        <v>0.48888888888888887</v>
      </c>
      <c r="AA26" s="61">
        <v>0.51527777777777783</v>
      </c>
      <c r="AB26" s="61">
        <v>0.52847222222222223</v>
      </c>
      <c r="AC26" s="61">
        <v>0.53611111111111109</v>
      </c>
      <c r="AD26" s="61">
        <v>0.54305555555555551</v>
      </c>
      <c r="AE26" s="61">
        <v>0.55555555555555558</v>
      </c>
    </row>
    <row r="27" spans="2:31" x14ac:dyDescent="0.3">
      <c r="B27" s="60" t="s">
        <v>683</v>
      </c>
      <c r="C27" s="103">
        <v>0.23124999999999998</v>
      </c>
      <c r="D27" s="103">
        <v>0.24513888888888888</v>
      </c>
      <c r="E27" s="104">
        <v>0.24513888888888888</v>
      </c>
      <c r="F27" s="103">
        <v>0.26041666666666669</v>
      </c>
      <c r="G27" s="61">
        <v>0.27499999999999997</v>
      </c>
      <c r="H27" s="103">
        <v>0.28888888888888892</v>
      </c>
      <c r="I27" s="61">
        <v>0.30277777777777776</v>
      </c>
      <c r="J27" s="103">
        <v>0.30902777777777779</v>
      </c>
      <c r="K27" s="61">
        <v>0.31597222222222221</v>
      </c>
      <c r="L27" s="103">
        <v>0.32291666666666669</v>
      </c>
      <c r="M27" s="103">
        <v>0.33333333333333331</v>
      </c>
      <c r="N27" s="103">
        <v>0.34722222222222227</v>
      </c>
      <c r="O27" s="104">
        <v>0.34722222222222227</v>
      </c>
      <c r="P27" s="61">
        <v>0.36041666666666666</v>
      </c>
      <c r="Q27" s="103">
        <v>0.3743055555555555</v>
      </c>
      <c r="R27" s="104">
        <v>0.3743055555555555</v>
      </c>
      <c r="S27" s="103">
        <v>0.38750000000000001</v>
      </c>
      <c r="T27" s="61">
        <v>0.40069444444444446</v>
      </c>
      <c r="U27" s="103">
        <v>0.4145833333333333</v>
      </c>
      <c r="V27" s="61">
        <v>0.4291666666666667</v>
      </c>
      <c r="W27" s="61">
        <v>0.4458333333333333</v>
      </c>
      <c r="X27" s="61">
        <v>0.46319444444444446</v>
      </c>
      <c r="Y27" s="61">
        <v>0.47222222222222227</v>
      </c>
      <c r="Z27" s="61">
        <v>0.49027777777777781</v>
      </c>
      <c r="AA27" s="61">
        <v>0.51666666666666672</v>
      </c>
      <c r="AB27" s="61">
        <v>0.52986111111111112</v>
      </c>
      <c r="AC27" s="61">
        <v>0.53749999999999998</v>
      </c>
      <c r="AD27" s="61">
        <v>0.5444444444444444</v>
      </c>
      <c r="AE27" s="61">
        <v>0.55694444444444446</v>
      </c>
    </row>
    <row r="28" spans="2:31" x14ac:dyDescent="0.3">
      <c r="B28" s="60" t="s">
        <v>665</v>
      </c>
      <c r="C28" s="103">
        <v>0.23263888888888887</v>
      </c>
      <c r="D28" s="103">
        <v>0.24652777777777779</v>
      </c>
      <c r="E28" s="104">
        <v>0.24652777777777779</v>
      </c>
      <c r="F28" s="103">
        <v>0.26180555555555557</v>
      </c>
      <c r="G28" s="61">
        <v>0.27708333333333335</v>
      </c>
      <c r="H28" s="103">
        <v>0.2902777777777778</v>
      </c>
      <c r="I28" s="61">
        <v>0.30416666666666664</v>
      </c>
      <c r="J28" s="103">
        <v>0.31041666666666667</v>
      </c>
      <c r="K28" s="61">
        <v>0.31805555555555554</v>
      </c>
      <c r="L28" s="103">
        <v>0.32500000000000001</v>
      </c>
      <c r="M28" s="103">
        <v>0.3347222222222222</v>
      </c>
      <c r="N28" s="103">
        <v>0.34930555555555554</v>
      </c>
      <c r="O28" s="104">
        <v>0.34930555555555554</v>
      </c>
      <c r="P28" s="61">
        <v>0.36249999999999999</v>
      </c>
      <c r="Q28" s="103">
        <v>0.3756944444444445</v>
      </c>
      <c r="R28" s="104">
        <v>0.3756944444444445</v>
      </c>
      <c r="S28" s="103">
        <v>0.3888888888888889</v>
      </c>
      <c r="T28" s="61">
        <v>0.40277777777777773</v>
      </c>
      <c r="U28" s="103">
        <v>0.41597222222222219</v>
      </c>
      <c r="V28" s="61">
        <v>0.43055555555555558</v>
      </c>
      <c r="W28" s="61">
        <v>0.44791666666666669</v>
      </c>
      <c r="X28" s="61">
        <v>0.46458333333333335</v>
      </c>
      <c r="Y28" s="61">
        <v>0.47361111111111115</v>
      </c>
      <c r="Z28" s="61">
        <v>0.49236111111111108</v>
      </c>
      <c r="AA28" s="61">
        <v>0.5180555555555556</v>
      </c>
      <c r="AB28" s="61">
        <v>0.53125</v>
      </c>
      <c r="AC28" s="61">
        <v>0.5395833333333333</v>
      </c>
      <c r="AD28" s="61">
        <v>0.54583333333333328</v>
      </c>
      <c r="AE28" s="61">
        <v>0.55902777777777779</v>
      </c>
    </row>
    <row r="29" spans="2:31" x14ac:dyDescent="0.3">
      <c r="B29" s="60" t="s">
        <v>686</v>
      </c>
      <c r="C29" s="103">
        <v>0.23402777777777781</v>
      </c>
      <c r="D29" s="103">
        <v>0.24791666666666667</v>
      </c>
      <c r="E29" s="104">
        <v>0.24791666666666667</v>
      </c>
      <c r="F29" s="103">
        <v>0.26319444444444445</v>
      </c>
      <c r="G29" s="61">
        <v>0.27847222222222223</v>
      </c>
      <c r="H29" s="103">
        <v>0.29166666666666669</v>
      </c>
      <c r="I29" s="61">
        <v>0.30555555555555552</v>
      </c>
      <c r="J29" s="103">
        <v>0.31180555555555556</v>
      </c>
      <c r="K29" s="61">
        <v>0.31944444444444448</v>
      </c>
      <c r="L29" s="103">
        <v>0.3263888888888889</v>
      </c>
      <c r="M29" s="103">
        <v>0.33611111111111108</v>
      </c>
      <c r="N29" s="103">
        <v>0.35069444444444442</v>
      </c>
      <c r="O29" s="104">
        <v>0.35069444444444442</v>
      </c>
      <c r="P29" s="61">
        <v>0.36388888888888887</v>
      </c>
      <c r="Q29" s="103">
        <v>0.37708333333333338</v>
      </c>
      <c r="R29" s="104">
        <v>0.37708333333333338</v>
      </c>
      <c r="S29" s="103">
        <v>0.39027777777777778</v>
      </c>
      <c r="T29" s="61">
        <v>0.40416666666666662</v>
      </c>
      <c r="U29" s="103">
        <v>0.41736111111111113</v>
      </c>
      <c r="V29" s="61">
        <v>0.43194444444444446</v>
      </c>
      <c r="W29" s="61">
        <v>0.44930555555555557</v>
      </c>
      <c r="X29" s="61">
        <v>0.46597222222222223</v>
      </c>
      <c r="Y29" s="61">
        <v>0.47500000000000003</v>
      </c>
      <c r="Z29" s="61">
        <v>0.49374999999999997</v>
      </c>
      <c r="AA29" s="61">
        <v>0.51944444444444449</v>
      </c>
      <c r="AB29" s="61">
        <v>0.53263888888888888</v>
      </c>
      <c r="AC29" s="61">
        <v>0.54097222222222219</v>
      </c>
      <c r="AD29" s="61">
        <v>0.54722222222222217</v>
      </c>
      <c r="AE29" s="61">
        <v>0.56041666666666667</v>
      </c>
    </row>
    <row r="30" spans="2:31" x14ac:dyDescent="0.3">
      <c r="B30" s="60" t="s">
        <v>676</v>
      </c>
      <c r="C30" s="103">
        <v>0.23611111111111113</v>
      </c>
      <c r="D30" s="103">
        <v>0.25</v>
      </c>
      <c r="E30" s="104">
        <v>0.25</v>
      </c>
      <c r="F30" s="103">
        <v>0.26527777777777778</v>
      </c>
      <c r="G30" s="61">
        <v>0.27986111111111112</v>
      </c>
      <c r="H30" s="103">
        <v>0.29375000000000001</v>
      </c>
      <c r="I30" s="61">
        <v>0.30763888888888891</v>
      </c>
      <c r="J30" s="103">
        <v>0.31388888888888888</v>
      </c>
      <c r="K30" s="61">
        <v>0.32083333333333336</v>
      </c>
      <c r="L30" s="103">
        <v>0.32777777777777778</v>
      </c>
      <c r="M30" s="103">
        <v>0.33819444444444446</v>
      </c>
      <c r="N30" s="103">
        <v>0.3520833333333333</v>
      </c>
      <c r="O30" s="104">
        <v>0.3520833333333333</v>
      </c>
      <c r="P30" s="61">
        <v>0.36527777777777781</v>
      </c>
      <c r="Q30" s="103">
        <v>0.37916666666666665</v>
      </c>
      <c r="R30" s="104">
        <v>0.37916666666666665</v>
      </c>
      <c r="S30" s="103">
        <v>0.3923611111111111</v>
      </c>
      <c r="T30" s="61">
        <v>0.4055555555555555</v>
      </c>
      <c r="U30" s="103">
        <v>0.41944444444444445</v>
      </c>
      <c r="V30" s="61">
        <v>0.43402777777777773</v>
      </c>
      <c r="W30" s="61">
        <v>0.45069444444444445</v>
      </c>
      <c r="X30" s="61">
        <v>0.4680555555555555</v>
      </c>
      <c r="Y30" s="61">
        <v>0.4770833333333333</v>
      </c>
      <c r="Z30" s="61">
        <v>0.49513888888888885</v>
      </c>
      <c r="AA30" s="61">
        <v>0.52152777777777781</v>
      </c>
      <c r="AB30" s="61">
        <v>0.53472222222222221</v>
      </c>
      <c r="AC30" s="61">
        <v>0.54236111111111118</v>
      </c>
      <c r="AD30" s="61">
        <v>0.5493055555555556</v>
      </c>
      <c r="AE30" s="61">
        <v>0.56180555555555556</v>
      </c>
    </row>
    <row r="31" spans="2:31" x14ac:dyDescent="0.3">
      <c r="B31" s="60" t="s">
        <v>580</v>
      </c>
      <c r="C31" s="103">
        <v>0.2388888888888889</v>
      </c>
      <c r="D31" s="103">
        <v>0.25277777777777777</v>
      </c>
      <c r="E31" s="104">
        <v>0.25277777777777777</v>
      </c>
      <c r="F31" s="103">
        <v>0.26805555555555555</v>
      </c>
      <c r="G31" s="61">
        <v>0.28263888888888888</v>
      </c>
      <c r="H31" s="103">
        <v>0.29652777777777778</v>
      </c>
      <c r="I31" s="61">
        <v>0.31041666666666667</v>
      </c>
      <c r="J31" s="103">
        <v>0.31666666666666665</v>
      </c>
      <c r="K31" s="61">
        <v>0.32361111111111113</v>
      </c>
      <c r="L31" s="103">
        <v>0.33055555555555555</v>
      </c>
      <c r="M31" s="103">
        <v>0.34097222222222223</v>
      </c>
      <c r="N31" s="103">
        <v>0.35486111111111113</v>
      </c>
      <c r="O31" s="104">
        <v>0.35486111111111113</v>
      </c>
      <c r="P31" s="61">
        <v>0.36805555555555558</v>
      </c>
      <c r="Q31" s="103">
        <v>0.38194444444444442</v>
      </c>
      <c r="R31" s="104">
        <v>0.38194444444444442</v>
      </c>
      <c r="S31" s="103">
        <v>0.39513888888888887</v>
      </c>
      <c r="T31" s="61">
        <v>0.40833333333333338</v>
      </c>
      <c r="U31" s="103">
        <v>0.42222222222222222</v>
      </c>
      <c r="V31" s="61">
        <v>0.4368055555555555</v>
      </c>
      <c r="W31" s="61">
        <v>0.45347222222222222</v>
      </c>
      <c r="X31" s="61">
        <v>0.47083333333333338</v>
      </c>
      <c r="Y31" s="61">
        <v>0.47986111111111113</v>
      </c>
      <c r="Z31" s="61">
        <v>0.49791666666666662</v>
      </c>
      <c r="AA31" s="61">
        <v>0.52430555555555558</v>
      </c>
      <c r="AB31" s="61">
        <v>0.53749999999999998</v>
      </c>
      <c r="AC31" s="61">
        <v>0.54513888888888895</v>
      </c>
      <c r="AD31" s="61">
        <v>0.55208333333333337</v>
      </c>
      <c r="AE31" s="61">
        <v>0.56458333333333333</v>
      </c>
    </row>
    <row r="32" spans="2:31" x14ac:dyDescent="0.3"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</row>
    <row r="33" spans="2:38" x14ac:dyDescent="0.3">
      <c r="B33" s="60" t="s">
        <v>581</v>
      </c>
      <c r="C33" s="60" t="s">
        <v>582</v>
      </c>
      <c r="D33" s="60">
        <v>546</v>
      </c>
      <c r="E33" s="60">
        <v>548</v>
      </c>
      <c r="F33" s="60">
        <v>550</v>
      </c>
      <c r="G33" s="60">
        <v>716</v>
      </c>
      <c r="H33" s="60">
        <v>552</v>
      </c>
      <c r="I33" s="60">
        <v>554</v>
      </c>
      <c r="J33" s="60">
        <v>556</v>
      </c>
      <c r="K33" s="60">
        <v>558</v>
      </c>
      <c r="L33" s="60">
        <v>560</v>
      </c>
      <c r="M33" s="60">
        <v>562</v>
      </c>
      <c r="N33" s="60">
        <v>718</v>
      </c>
      <c r="O33" s="60" t="s">
        <v>583</v>
      </c>
      <c r="P33" s="60">
        <v>564</v>
      </c>
      <c r="Q33" s="60">
        <v>566</v>
      </c>
      <c r="R33" s="60">
        <v>568</v>
      </c>
      <c r="S33" s="60" t="s">
        <v>583</v>
      </c>
      <c r="T33" s="60">
        <v>570</v>
      </c>
      <c r="U33" s="60">
        <v>720</v>
      </c>
      <c r="V33" s="60" t="s">
        <v>583</v>
      </c>
      <c r="W33" s="60">
        <v>572</v>
      </c>
      <c r="X33" s="60" t="s">
        <v>583</v>
      </c>
      <c r="Y33" s="60">
        <v>574</v>
      </c>
      <c r="Z33" s="60">
        <v>576</v>
      </c>
      <c r="AA33" s="60">
        <v>728</v>
      </c>
      <c r="AB33" s="60">
        <v>578</v>
      </c>
      <c r="AC33" s="60">
        <v>580</v>
      </c>
      <c r="AD33" s="60">
        <v>582</v>
      </c>
      <c r="AE33" s="60">
        <v>586</v>
      </c>
      <c r="AF33" s="60">
        <v>584</v>
      </c>
      <c r="AG33" s="60" t="s">
        <v>583</v>
      </c>
      <c r="AH33" s="60">
        <v>588</v>
      </c>
      <c r="AI33" s="60">
        <v>590</v>
      </c>
      <c r="AJ33" s="60">
        <v>592</v>
      </c>
      <c r="AK33" s="60" t="s">
        <v>552</v>
      </c>
      <c r="AL33" s="60">
        <v>594</v>
      </c>
    </row>
    <row r="34" spans="2:38" x14ac:dyDescent="0.3">
      <c r="B34" s="60" t="s">
        <v>687</v>
      </c>
      <c r="C34" s="61">
        <v>0.54305555555555551</v>
      </c>
      <c r="D34" s="61">
        <v>0.58402777777777781</v>
      </c>
      <c r="E34" s="61">
        <v>0.62430555555555556</v>
      </c>
      <c r="F34" s="61">
        <v>0.72152777777777777</v>
      </c>
      <c r="G34" s="61">
        <v>0.76041666666666663</v>
      </c>
      <c r="H34" s="61">
        <v>0.81527777777777777</v>
      </c>
      <c r="I34" s="61">
        <v>0.875</v>
      </c>
    </row>
    <row r="35" spans="2:38" x14ac:dyDescent="0.3">
      <c r="B35" s="60" t="s">
        <v>684</v>
      </c>
      <c r="C35" s="61">
        <v>0.54722222222222217</v>
      </c>
      <c r="D35" s="61">
        <v>0.58819444444444446</v>
      </c>
      <c r="E35" s="61">
        <v>0.62847222222222221</v>
      </c>
      <c r="F35" s="61">
        <v>0.67083333333333339</v>
      </c>
      <c r="G35" s="61">
        <v>0.72569444444444453</v>
      </c>
      <c r="H35" s="61">
        <v>0.76458333333333339</v>
      </c>
      <c r="I35" s="61">
        <v>0.81944444444444453</v>
      </c>
      <c r="J35" s="61">
        <v>0.88055555555555554</v>
      </c>
    </row>
    <row r="36" spans="2:38" x14ac:dyDescent="0.3">
      <c r="B36" s="60" t="s">
        <v>664</v>
      </c>
      <c r="C36" s="60" t="s">
        <v>539</v>
      </c>
      <c r="D36" s="60" t="s">
        <v>540</v>
      </c>
      <c r="E36" s="61">
        <v>0.59097222222222223</v>
      </c>
      <c r="F36" s="60" t="s">
        <v>540</v>
      </c>
      <c r="G36" s="61">
        <v>0.67361111111111116</v>
      </c>
      <c r="H36" s="60" t="s">
        <v>540</v>
      </c>
      <c r="I36" s="61">
        <v>0.76736111111111116</v>
      </c>
      <c r="J36" s="60" t="s">
        <v>540</v>
      </c>
      <c r="K36" s="61">
        <v>0.8833333333333333</v>
      </c>
    </row>
    <row r="37" spans="2:38" x14ac:dyDescent="0.3">
      <c r="B37" s="60" t="s">
        <v>674</v>
      </c>
      <c r="C37" s="61">
        <v>0.55208333333333337</v>
      </c>
      <c r="D37" s="61">
        <v>0.59375</v>
      </c>
      <c r="E37" s="61">
        <v>0.6333333333333333</v>
      </c>
      <c r="F37" s="61">
        <v>0.67638888888888893</v>
      </c>
      <c r="G37" s="61">
        <v>0.73055555555555562</v>
      </c>
      <c r="H37" s="61">
        <v>0.77013888888888893</v>
      </c>
      <c r="I37" s="61">
        <v>0.82430555555555562</v>
      </c>
      <c r="J37" s="61">
        <v>0.88611111111111107</v>
      </c>
    </row>
    <row r="38" spans="2:38" x14ac:dyDescent="0.3">
      <c r="B38" s="60" t="s">
        <v>667</v>
      </c>
      <c r="C38" s="61">
        <v>0.5541666666666667</v>
      </c>
      <c r="D38" s="61">
        <v>0.59583333333333333</v>
      </c>
      <c r="E38" s="61">
        <v>0.63541666666666663</v>
      </c>
      <c r="F38" s="61">
        <v>0.67847222222222225</v>
      </c>
      <c r="G38" s="61">
        <v>0.73263888888888884</v>
      </c>
      <c r="H38" s="61">
        <v>0.77222222222222225</v>
      </c>
      <c r="I38" s="61">
        <v>0.82638888888888884</v>
      </c>
      <c r="J38" s="61">
        <v>0.8881944444444444</v>
      </c>
    </row>
    <row r="39" spans="2:38" x14ac:dyDescent="0.3">
      <c r="B39" s="60" t="s">
        <v>690</v>
      </c>
      <c r="C39" s="61">
        <v>0.55694444444444446</v>
      </c>
      <c r="D39" s="61">
        <v>0.59861111111111109</v>
      </c>
      <c r="E39" s="61">
        <v>0.63750000000000007</v>
      </c>
      <c r="F39" s="61">
        <v>0.68055555555555547</v>
      </c>
      <c r="G39" s="61">
        <v>0.73541666666666661</v>
      </c>
      <c r="H39" s="61">
        <v>0.77500000000000002</v>
      </c>
      <c r="I39" s="61">
        <v>0.82916666666666661</v>
      </c>
      <c r="J39" s="61">
        <v>0.89027777777777783</v>
      </c>
    </row>
    <row r="40" spans="2:38" x14ac:dyDescent="0.3">
      <c r="B40" s="60" t="s">
        <v>672</v>
      </c>
      <c r="C40" s="60" t="s">
        <v>539</v>
      </c>
      <c r="D40" s="61">
        <v>0.56041666666666667</v>
      </c>
      <c r="E40" s="61">
        <v>0.6020833333333333</v>
      </c>
      <c r="F40" s="61">
        <v>0.64097222222222217</v>
      </c>
      <c r="G40" s="61">
        <v>0.68402777777777779</v>
      </c>
      <c r="H40" s="61">
        <v>0.73888888888888893</v>
      </c>
      <c r="I40" s="61">
        <v>0.77847222222222223</v>
      </c>
      <c r="J40" s="61">
        <v>0.83263888888888893</v>
      </c>
      <c r="K40" s="61">
        <v>0.89374999999999993</v>
      </c>
    </row>
    <row r="41" spans="2:38" x14ac:dyDescent="0.3">
      <c r="B41" s="60" t="s">
        <v>680</v>
      </c>
      <c r="C41" s="61">
        <v>0.56736111111111109</v>
      </c>
      <c r="D41" s="61">
        <v>0.6118055555555556</v>
      </c>
      <c r="E41" s="61">
        <v>0.65625</v>
      </c>
      <c r="F41" s="61">
        <v>0.69930555555555562</v>
      </c>
      <c r="G41" s="61">
        <v>0.73819444444444438</v>
      </c>
      <c r="H41" s="61">
        <v>0.79236111111111107</v>
      </c>
      <c r="I41" s="61">
        <v>0.85972222222222217</v>
      </c>
      <c r="J41" s="61">
        <v>0.91805555555555562</v>
      </c>
    </row>
    <row r="42" spans="2:38" x14ac:dyDescent="0.3">
      <c r="B42" s="60" t="s">
        <v>675</v>
      </c>
      <c r="C42" s="60" t="s">
        <v>539</v>
      </c>
      <c r="D42" s="61">
        <v>0.5708333333333333</v>
      </c>
      <c r="E42" s="61">
        <v>0.61527777777777781</v>
      </c>
      <c r="F42" s="61">
        <v>0.65972222222222221</v>
      </c>
      <c r="G42" s="61">
        <v>0.70277777777777783</v>
      </c>
      <c r="H42" s="61">
        <v>0.7416666666666667</v>
      </c>
      <c r="I42" s="61">
        <v>0.79583333333333339</v>
      </c>
      <c r="J42" s="61">
        <v>0.86319444444444438</v>
      </c>
      <c r="K42" s="61">
        <v>0.92152777777777783</v>
      </c>
    </row>
    <row r="43" spans="2:38" x14ac:dyDescent="0.3">
      <c r="B43" s="60" t="s">
        <v>681</v>
      </c>
      <c r="C43" s="60" t="s">
        <v>539</v>
      </c>
      <c r="D43" s="61">
        <v>0.57222222222222219</v>
      </c>
      <c r="E43" s="61">
        <v>0.6166666666666667</v>
      </c>
      <c r="F43" s="61">
        <v>0.66111111111111109</v>
      </c>
      <c r="G43" s="61">
        <v>0.70416666666666661</v>
      </c>
      <c r="H43" s="61">
        <v>0.74305555555555547</v>
      </c>
      <c r="I43" s="61">
        <v>0.79722222222222217</v>
      </c>
      <c r="J43" s="61">
        <v>0.86458333333333337</v>
      </c>
      <c r="K43" s="61">
        <v>0.92291666666666661</v>
      </c>
    </row>
    <row r="44" spans="2:38" x14ac:dyDescent="0.3">
      <c r="B44" s="60" t="s">
        <v>670</v>
      </c>
      <c r="C44" s="61">
        <v>0.57430555555555551</v>
      </c>
      <c r="D44" s="61">
        <v>0.61875000000000002</v>
      </c>
      <c r="E44" s="61">
        <v>0.66319444444444442</v>
      </c>
      <c r="F44" s="61">
        <v>0.70624999999999993</v>
      </c>
      <c r="G44" s="61">
        <v>0.74513888888888891</v>
      </c>
      <c r="H44" s="61">
        <v>0.7993055555555556</v>
      </c>
      <c r="I44" s="61">
        <v>0.8666666666666667</v>
      </c>
      <c r="J44" s="61">
        <v>0.92499999999999993</v>
      </c>
    </row>
    <row r="45" spans="2:38" x14ac:dyDescent="0.3">
      <c r="B45" s="60" t="s">
        <v>671</v>
      </c>
      <c r="C45" s="60" t="s">
        <v>695</v>
      </c>
      <c r="D45" s="60" t="s">
        <v>695</v>
      </c>
      <c r="E45" s="60" t="s">
        <v>695</v>
      </c>
      <c r="F45" s="61">
        <v>0.69097222222222221</v>
      </c>
      <c r="G45" s="60" t="s">
        <v>695</v>
      </c>
      <c r="H45" s="60" t="s">
        <v>695</v>
      </c>
      <c r="I45" s="61">
        <v>0.78541666666666676</v>
      </c>
      <c r="J45" s="60" t="s">
        <v>695</v>
      </c>
      <c r="K45" s="60" t="s">
        <v>695</v>
      </c>
      <c r="L45" s="60" t="s">
        <v>695</v>
      </c>
    </row>
    <row r="46" spans="2:38" x14ac:dyDescent="0.3">
      <c r="B46" s="60" t="s">
        <v>669</v>
      </c>
      <c r="C46" s="61">
        <v>0.57777777777777783</v>
      </c>
      <c r="D46" s="61">
        <v>0.62222222222222223</v>
      </c>
      <c r="E46" s="61">
        <v>0.66666666666666663</v>
      </c>
      <c r="F46" s="61">
        <v>0.69444444444444453</v>
      </c>
      <c r="G46" s="61">
        <v>0.70972222222222225</v>
      </c>
      <c r="H46" s="61">
        <v>0.74861111111111101</v>
      </c>
      <c r="I46" s="61">
        <v>0.78888888888888886</v>
      </c>
      <c r="J46" s="61">
        <v>0.8027777777777777</v>
      </c>
      <c r="K46" s="61">
        <v>0.86944444444444446</v>
      </c>
      <c r="L46" s="61">
        <v>0.9277777777777777</v>
      </c>
    </row>
    <row r="47" spans="2:38" x14ac:dyDescent="0.3">
      <c r="B47" s="60" t="s">
        <v>677</v>
      </c>
      <c r="C47" s="61">
        <v>0.5805555555555556</v>
      </c>
      <c r="D47" s="61">
        <v>0.625</v>
      </c>
      <c r="E47" s="61">
        <v>0.6694444444444444</v>
      </c>
      <c r="F47" s="61">
        <v>0.6972222222222223</v>
      </c>
      <c r="G47" s="61">
        <v>0.71250000000000002</v>
      </c>
      <c r="H47" s="61">
        <v>0.75138888888888899</v>
      </c>
      <c r="I47" s="61">
        <v>0.79166666666666663</v>
      </c>
      <c r="J47" s="61">
        <v>0.80555555555555547</v>
      </c>
      <c r="K47" s="61">
        <v>0.87222222222222223</v>
      </c>
      <c r="L47" s="61">
        <v>0.93055555555555547</v>
      </c>
    </row>
    <row r="48" spans="2:38" x14ac:dyDescent="0.3">
      <c r="B48" s="60" t="s">
        <v>666</v>
      </c>
      <c r="C48" s="61">
        <v>0.56319444444444444</v>
      </c>
      <c r="D48" s="61">
        <v>0.58402777777777781</v>
      </c>
      <c r="E48" s="61">
        <v>0.60486111111111118</v>
      </c>
      <c r="F48" s="61">
        <v>0.62916666666666665</v>
      </c>
      <c r="G48" s="61">
        <v>0.64444444444444449</v>
      </c>
      <c r="H48" s="61">
        <v>0.65972222222222221</v>
      </c>
      <c r="I48" s="61">
        <v>0.67361111111111116</v>
      </c>
      <c r="J48" s="61">
        <v>0.6875</v>
      </c>
      <c r="K48" s="61">
        <v>0.70138888888888884</v>
      </c>
      <c r="L48" s="61">
        <v>0.71597222222222223</v>
      </c>
      <c r="M48" s="103">
        <v>0.72986111111111107</v>
      </c>
      <c r="N48" s="61">
        <v>0.7416666666666667</v>
      </c>
      <c r="O48" s="61">
        <v>0.75555555555555554</v>
      </c>
      <c r="P48" s="61">
        <v>0.78125</v>
      </c>
      <c r="Q48" s="61">
        <v>0.79583333333333339</v>
      </c>
      <c r="R48" s="61">
        <v>0.80902777777777779</v>
      </c>
      <c r="S48" s="61">
        <v>0.8354166666666667</v>
      </c>
      <c r="T48" s="103">
        <v>0.85486111111111107</v>
      </c>
      <c r="U48" s="61">
        <v>0.87569444444444444</v>
      </c>
      <c r="V48" s="61">
        <v>0.8965277777777777</v>
      </c>
      <c r="W48" s="61">
        <v>0.93472222222222223</v>
      </c>
    </row>
    <row r="49" spans="2:31" x14ac:dyDescent="0.3">
      <c r="B49" s="60" t="s">
        <v>689</v>
      </c>
      <c r="C49" s="61">
        <v>0.56597222222222221</v>
      </c>
      <c r="D49" s="61">
        <v>0.58680555555555558</v>
      </c>
      <c r="E49" s="61">
        <v>0.60763888888888895</v>
      </c>
      <c r="F49" s="61">
        <v>0.63194444444444442</v>
      </c>
      <c r="G49" s="61">
        <v>0.64722222222222225</v>
      </c>
      <c r="H49" s="61">
        <v>0.66249999999999998</v>
      </c>
      <c r="I49" s="61">
        <v>0.67638888888888893</v>
      </c>
      <c r="J49" s="61">
        <v>0.69027777777777777</v>
      </c>
      <c r="K49" s="61">
        <v>0.70416666666666661</v>
      </c>
      <c r="L49" s="61">
        <v>0.71875</v>
      </c>
      <c r="M49" s="103">
        <v>0.73263888888888884</v>
      </c>
      <c r="N49" s="61">
        <v>0.74444444444444446</v>
      </c>
      <c r="O49" s="61">
        <v>0.7583333333333333</v>
      </c>
      <c r="P49" s="61">
        <v>0.78402777777777777</v>
      </c>
      <c r="Q49" s="61">
        <v>0.79861111111111116</v>
      </c>
      <c r="R49" s="61">
        <v>0.81180555555555556</v>
      </c>
      <c r="S49" s="61">
        <v>0.83819444444444446</v>
      </c>
      <c r="T49" s="103">
        <v>0.85763888888888884</v>
      </c>
      <c r="U49" s="61">
        <v>0.87847222222222221</v>
      </c>
      <c r="V49" s="61">
        <v>0.89930555555555547</v>
      </c>
      <c r="W49" s="61">
        <v>0.9375</v>
      </c>
    </row>
    <row r="50" spans="2:31" x14ac:dyDescent="0.3">
      <c r="B50" s="60" t="s">
        <v>685</v>
      </c>
      <c r="C50" s="61">
        <v>0.56874999999999998</v>
      </c>
      <c r="D50" s="61">
        <v>0.58958333333333335</v>
      </c>
      <c r="E50" s="61">
        <v>0.61041666666666672</v>
      </c>
      <c r="F50" s="61">
        <v>0.63472222222222219</v>
      </c>
      <c r="G50" s="61">
        <v>0.65</v>
      </c>
      <c r="H50" s="61">
        <v>0.66527777777777775</v>
      </c>
      <c r="I50" s="61">
        <v>0.6791666666666667</v>
      </c>
      <c r="J50" s="61">
        <v>0.69305555555555554</v>
      </c>
      <c r="K50" s="61">
        <v>0.70694444444444438</v>
      </c>
      <c r="L50" s="61">
        <v>0.72152777777777777</v>
      </c>
      <c r="M50" s="103">
        <v>0.73541666666666661</v>
      </c>
      <c r="N50" s="61">
        <v>0.74722222222222223</v>
      </c>
      <c r="O50" s="61">
        <v>0.76111111111111107</v>
      </c>
      <c r="P50" s="61">
        <v>0.78680555555555554</v>
      </c>
      <c r="Q50" s="61">
        <v>0.80138888888888893</v>
      </c>
      <c r="R50" s="61">
        <v>0.81458333333333333</v>
      </c>
      <c r="S50" s="61">
        <v>0.84097222222222223</v>
      </c>
      <c r="T50" s="103">
        <v>0.86041666666666661</v>
      </c>
      <c r="U50" s="61">
        <v>0.88124999999999998</v>
      </c>
      <c r="V50" s="61">
        <v>0.90208333333333324</v>
      </c>
      <c r="W50" s="61">
        <v>0.94027777777777777</v>
      </c>
    </row>
    <row r="51" spans="2:31" x14ac:dyDescent="0.3">
      <c r="B51" s="60" t="s">
        <v>679</v>
      </c>
      <c r="C51" s="60" t="s">
        <v>539</v>
      </c>
      <c r="D51" s="61">
        <v>0.5708333333333333</v>
      </c>
      <c r="E51" s="60" t="s">
        <v>540</v>
      </c>
      <c r="F51" s="61">
        <v>0.61249999999999993</v>
      </c>
      <c r="G51" s="60" t="s">
        <v>540</v>
      </c>
      <c r="H51" s="61">
        <v>0.65208333333333335</v>
      </c>
      <c r="I51" s="60" t="s">
        <v>540</v>
      </c>
      <c r="J51" s="60" t="s">
        <v>540</v>
      </c>
      <c r="K51" s="61">
        <v>0.69513888888888886</v>
      </c>
      <c r="L51" s="60" t="s">
        <v>540</v>
      </c>
      <c r="M51" s="60" t="s">
        <v>540</v>
      </c>
      <c r="N51" s="60" t="s">
        <v>540</v>
      </c>
      <c r="O51" s="61">
        <v>0.74930555555555556</v>
      </c>
      <c r="P51" s="60" t="s">
        <v>540</v>
      </c>
      <c r="Q51" s="61">
        <v>0.78888888888888886</v>
      </c>
      <c r="R51" s="60" t="s">
        <v>540</v>
      </c>
      <c r="S51" s="60" t="s">
        <v>540</v>
      </c>
      <c r="T51" s="61">
        <v>0.84305555555555556</v>
      </c>
      <c r="U51" s="60" t="s">
        <v>540</v>
      </c>
      <c r="V51" s="60" t="s">
        <v>540</v>
      </c>
      <c r="W51" s="61">
        <v>0.90416666666666667</v>
      </c>
      <c r="X51" s="60" t="s">
        <v>540</v>
      </c>
    </row>
    <row r="52" spans="2:31" x14ac:dyDescent="0.3">
      <c r="B52" s="60" t="s">
        <v>688</v>
      </c>
      <c r="C52" s="61">
        <v>0.57222222222222219</v>
      </c>
      <c r="D52" s="61">
        <v>0.59236111111111112</v>
      </c>
      <c r="E52" s="61">
        <v>0.61388888888888882</v>
      </c>
      <c r="F52" s="61">
        <v>0.63750000000000007</v>
      </c>
      <c r="G52" s="61">
        <v>0.65347222222222223</v>
      </c>
      <c r="H52" s="61">
        <v>0.66805555555555562</v>
      </c>
      <c r="I52" s="61">
        <v>0.68194444444444446</v>
      </c>
      <c r="J52" s="61">
        <v>0.69652777777777775</v>
      </c>
      <c r="K52" s="61">
        <v>0.70972222222222225</v>
      </c>
      <c r="L52" s="61">
        <v>0.72430555555555554</v>
      </c>
      <c r="M52" s="103">
        <v>0.73819444444444438</v>
      </c>
      <c r="N52" s="61">
        <v>0.75069444444444444</v>
      </c>
      <c r="O52" s="61">
        <v>0.76388888888888884</v>
      </c>
      <c r="P52" s="61">
        <v>0.79027777777777775</v>
      </c>
      <c r="Q52" s="61">
        <v>0.8041666666666667</v>
      </c>
      <c r="R52" s="61">
        <v>0.81736111111111109</v>
      </c>
      <c r="S52" s="61">
        <v>0.84444444444444444</v>
      </c>
      <c r="T52" s="103">
        <v>0.86319444444444438</v>
      </c>
      <c r="U52" s="61">
        <v>0.88402777777777775</v>
      </c>
      <c r="V52" s="61">
        <v>0.90555555555555556</v>
      </c>
      <c r="W52" s="61">
        <v>0.94305555555555554</v>
      </c>
    </row>
    <row r="53" spans="2:31" x14ac:dyDescent="0.3">
      <c r="B53" s="60" t="s">
        <v>673</v>
      </c>
      <c r="C53" s="61">
        <v>0.57361111111111118</v>
      </c>
      <c r="D53" s="61">
        <v>0.59375</v>
      </c>
      <c r="E53" s="61">
        <v>0.61527777777777781</v>
      </c>
      <c r="F53" s="61">
        <v>0.63888888888888895</v>
      </c>
      <c r="G53" s="61">
        <v>0.65486111111111112</v>
      </c>
      <c r="H53" s="61">
        <v>0.6694444444444444</v>
      </c>
      <c r="I53" s="61">
        <v>0.68333333333333324</v>
      </c>
      <c r="J53" s="61">
        <v>0.69791666666666663</v>
      </c>
      <c r="K53" s="61">
        <v>0.71111111111111114</v>
      </c>
      <c r="L53" s="61">
        <v>0.72569444444444453</v>
      </c>
      <c r="M53" s="103">
        <v>0.73958333333333337</v>
      </c>
      <c r="N53" s="61">
        <v>0.75208333333333333</v>
      </c>
      <c r="O53" s="61">
        <v>0.76527777777777783</v>
      </c>
      <c r="P53" s="61">
        <v>0.79166666666666663</v>
      </c>
      <c r="Q53" s="61">
        <v>0.80555555555555547</v>
      </c>
      <c r="R53" s="61">
        <v>0.81874999999999998</v>
      </c>
      <c r="S53" s="61">
        <v>0.84583333333333333</v>
      </c>
      <c r="T53" s="103">
        <v>0.86458333333333337</v>
      </c>
      <c r="U53" s="61">
        <v>0.88541666666666663</v>
      </c>
      <c r="V53" s="61">
        <v>0.90694444444444444</v>
      </c>
      <c r="W53" s="61">
        <v>0.94444444444444453</v>
      </c>
    </row>
    <row r="54" spans="2:31" x14ac:dyDescent="0.3">
      <c r="B54" s="60" t="s">
        <v>682</v>
      </c>
      <c r="C54" s="61">
        <v>0.5756944444444444</v>
      </c>
      <c r="D54" s="61">
        <v>0.58333333333333337</v>
      </c>
      <c r="E54" s="61">
        <v>0.59583333333333333</v>
      </c>
      <c r="F54" s="61">
        <v>0.60555555555555551</v>
      </c>
      <c r="G54" s="61">
        <v>0.61736111111111114</v>
      </c>
      <c r="H54" s="61">
        <v>0.63124999999999998</v>
      </c>
      <c r="I54" s="61">
        <v>0.64097222222222217</v>
      </c>
      <c r="J54" s="61">
        <v>0.65694444444444444</v>
      </c>
      <c r="K54" s="61">
        <v>0.67152777777777783</v>
      </c>
      <c r="L54" s="61">
        <v>0.68541666666666667</v>
      </c>
      <c r="M54" s="103">
        <v>0.69513888888888886</v>
      </c>
      <c r="N54" s="61">
        <v>0.70000000000000007</v>
      </c>
      <c r="O54" s="61">
        <v>0.71319444444444446</v>
      </c>
      <c r="P54" s="103">
        <v>0.72083333333333333</v>
      </c>
      <c r="Q54" s="61">
        <v>0.72777777777777775</v>
      </c>
      <c r="R54" s="103">
        <v>0.73402777777777783</v>
      </c>
      <c r="S54" s="103">
        <v>0.7416666666666667</v>
      </c>
      <c r="T54" s="61">
        <v>0.75416666666666676</v>
      </c>
      <c r="U54" s="61">
        <v>0.76736111111111116</v>
      </c>
      <c r="V54" s="61">
        <v>0.77986111111111101</v>
      </c>
      <c r="W54" s="61">
        <v>0.79375000000000007</v>
      </c>
      <c r="X54" s="61">
        <v>0.80763888888888891</v>
      </c>
      <c r="Y54" s="61">
        <v>0.8208333333333333</v>
      </c>
      <c r="Z54" s="61">
        <v>0.84791666666666676</v>
      </c>
      <c r="AA54" s="103">
        <v>0.8666666666666667</v>
      </c>
      <c r="AB54" s="61">
        <v>0.88750000000000007</v>
      </c>
      <c r="AC54" s="61">
        <v>0.90902777777777777</v>
      </c>
      <c r="AD54" s="104">
        <v>0.9277777777777777</v>
      </c>
      <c r="AE54" s="61">
        <v>0.94652777777777775</v>
      </c>
    </row>
    <row r="55" spans="2:31" x14ac:dyDescent="0.3">
      <c r="B55" s="60" t="s">
        <v>668</v>
      </c>
      <c r="C55" s="61">
        <v>0.57708333333333328</v>
      </c>
      <c r="D55" s="61">
        <v>0.58472222222222225</v>
      </c>
      <c r="E55" s="61">
        <v>0.59722222222222221</v>
      </c>
      <c r="F55" s="61">
        <v>0.6069444444444444</v>
      </c>
      <c r="G55" s="61">
        <v>0.61875000000000002</v>
      </c>
      <c r="H55" s="61">
        <v>0.63263888888888886</v>
      </c>
      <c r="I55" s="61">
        <v>0.64236111111111105</v>
      </c>
      <c r="J55" s="61">
        <v>0.65833333333333333</v>
      </c>
      <c r="K55" s="61">
        <v>0.67291666666666661</v>
      </c>
      <c r="L55" s="61">
        <v>0.68680555555555556</v>
      </c>
      <c r="M55" s="103">
        <v>0.69652777777777775</v>
      </c>
      <c r="N55" s="61">
        <v>0.70138888888888884</v>
      </c>
      <c r="O55" s="61">
        <v>0.71458333333333324</v>
      </c>
      <c r="P55" s="103">
        <v>0.72222222222222221</v>
      </c>
      <c r="Q55" s="61">
        <v>0.72916666666666663</v>
      </c>
      <c r="R55" s="103">
        <v>0.73541666666666661</v>
      </c>
      <c r="S55" s="103">
        <v>0.74305555555555547</v>
      </c>
      <c r="T55" s="61">
        <v>0.75555555555555554</v>
      </c>
      <c r="U55" s="61">
        <v>0.76874999999999993</v>
      </c>
      <c r="V55" s="61">
        <v>0.78125</v>
      </c>
      <c r="W55" s="61">
        <v>0.79513888888888884</v>
      </c>
      <c r="X55" s="61">
        <v>0.80902777777777779</v>
      </c>
      <c r="Y55" s="61">
        <v>0.8222222222222223</v>
      </c>
      <c r="Z55" s="61">
        <v>0.84930555555555554</v>
      </c>
      <c r="AA55" s="103">
        <v>0.86805555555555547</v>
      </c>
      <c r="AB55" s="61">
        <v>0.88888888888888884</v>
      </c>
      <c r="AC55" s="61">
        <v>0.91041666666666676</v>
      </c>
      <c r="AD55" s="104">
        <v>0.9291666666666667</v>
      </c>
      <c r="AE55" s="61">
        <v>0.94791666666666663</v>
      </c>
    </row>
    <row r="56" spans="2:31" x14ac:dyDescent="0.3">
      <c r="B56" s="60" t="s">
        <v>663</v>
      </c>
      <c r="C56" s="61">
        <v>0.57847222222222217</v>
      </c>
      <c r="D56" s="61">
        <v>0.58611111111111114</v>
      </c>
      <c r="E56" s="61">
        <v>0.59861111111111109</v>
      </c>
      <c r="F56" s="61">
        <v>0.60833333333333328</v>
      </c>
      <c r="G56" s="61">
        <v>0.62013888888888891</v>
      </c>
      <c r="H56" s="61">
        <v>0.63402777777777775</v>
      </c>
      <c r="I56" s="61">
        <v>0.64374999999999993</v>
      </c>
      <c r="J56" s="61">
        <v>0.65972222222222221</v>
      </c>
      <c r="K56" s="61">
        <v>0.6743055555555556</v>
      </c>
      <c r="L56" s="61">
        <v>0.68819444444444444</v>
      </c>
      <c r="M56" s="103">
        <v>0.69791666666666663</v>
      </c>
      <c r="N56" s="61">
        <v>0.70277777777777783</v>
      </c>
      <c r="O56" s="61">
        <v>0.71597222222222223</v>
      </c>
      <c r="P56" s="103">
        <v>0.72361111111111109</v>
      </c>
      <c r="Q56" s="61">
        <v>0.73055555555555562</v>
      </c>
      <c r="R56" s="103">
        <v>0.7368055555555556</v>
      </c>
      <c r="S56" s="103">
        <v>0.74444444444444446</v>
      </c>
      <c r="T56" s="61">
        <v>0.75694444444444453</v>
      </c>
      <c r="U56" s="61">
        <v>0.77013888888888893</v>
      </c>
      <c r="V56" s="61">
        <v>0.78263888888888899</v>
      </c>
      <c r="W56" s="61">
        <v>0.79652777777777783</v>
      </c>
      <c r="X56" s="61">
        <v>0.81041666666666667</v>
      </c>
      <c r="Y56" s="61">
        <v>0.82361111111111107</v>
      </c>
      <c r="Z56" s="61">
        <v>0.85069444444444453</v>
      </c>
      <c r="AA56" s="103">
        <v>0.86944444444444446</v>
      </c>
      <c r="AB56" s="61">
        <v>0.89027777777777783</v>
      </c>
      <c r="AC56" s="61">
        <v>0.91180555555555554</v>
      </c>
      <c r="AD56" s="104">
        <v>0.93055555555555547</v>
      </c>
      <c r="AE56" s="61">
        <v>0.94930555555555562</v>
      </c>
    </row>
    <row r="57" spans="2:31" x14ac:dyDescent="0.3">
      <c r="B57" s="60" t="s">
        <v>678</v>
      </c>
      <c r="C57" s="61">
        <v>0.57986111111111105</v>
      </c>
      <c r="D57" s="61">
        <v>0.58750000000000002</v>
      </c>
      <c r="E57" s="61">
        <v>0.6</v>
      </c>
      <c r="F57" s="61">
        <v>0.60972222222222217</v>
      </c>
      <c r="G57" s="61">
        <v>0.62152777777777779</v>
      </c>
      <c r="H57" s="61">
        <v>0.63541666666666663</v>
      </c>
      <c r="I57" s="61">
        <v>0.64513888888888882</v>
      </c>
      <c r="J57" s="61">
        <v>0.66111111111111109</v>
      </c>
      <c r="K57" s="61">
        <v>0.67569444444444438</v>
      </c>
      <c r="L57" s="61">
        <v>0.68958333333333333</v>
      </c>
      <c r="M57" s="103">
        <v>0.69930555555555562</v>
      </c>
      <c r="N57" s="61">
        <v>0.70416666666666661</v>
      </c>
      <c r="O57" s="61">
        <v>0.71736111111111101</v>
      </c>
      <c r="P57" s="103">
        <v>0.72499999999999998</v>
      </c>
      <c r="Q57" s="61">
        <v>0.7319444444444444</v>
      </c>
      <c r="R57" s="103">
        <v>0.73819444444444438</v>
      </c>
      <c r="S57" s="103">
        <v>0.74583333333333324</v>
      </c>
      <c r="T57" s="61">
        <v>0.7583333333333333</v>
      </c>
      <c r="U57" s="61">
        <v>0.7715277777777777</v>
      </c>
      <c r="V57" s="61">
        <v>0.78402777777777777</v>
      </c>
      <c r="W57" s="61">
        <v>0.79791666666666661</v>
      </c>
      <c r="X57" s="61">
        <v>0.81180555555555556</v>
      </c>
      <c r="Y57" s="61">
        <v>0.82500000000000007</v>
      </c>
      <c r="Z57" s="61">
        <v>0.8520833333333333</v>
      </c>
      <c r="AA57" s="103">
        <v>0.87083333333333324</v>
      </c>
      <c r="AB57" s="61">
        <v>0.89166666666666661</v>
      </c>
      <c r="AC57" s="61">
        <v>0.91319444444444453</v>
      </c>
      <c r="AD57" s="104">
        <v>0.93194444444444446</v>
      </c>
      <c r="AE57" s="61">
        <v>0.9506944444444444</v>
      </c>
    </row>
    <row r="58" spans="2:31" x14ac:dyDescent="0.3">
      <c r="B58" s="60" t="s">
        <v>683</v>
      </c>
      <c r="C58" s="61">
        <v>0.58124999999999993</v>
      </c>
      <c r="D58" s="61">
        <v>0.58888888888888891</v>
      </c>
      <c r="E58" s="61">
        <v>0.60138888888888886</v>
      </c>
      <c r="F58" s="61">
        <v>0.61111111111111105</v>
      </c>
      <c r="G58" s="61">
        <v>0.62291666666666667</v>
      </c>
      <c r="H58" s="61">
        <v>0.63680555555555551</v>
      </c>
      <c r="I58" s="61">
        <v>0.64652777777777781</v>
      </c>
      <c r="J58" s="61">
        <v>0.66249999999999998</v>
      </c>
      <c r="K58" s="61">
        <v>0.67708333333333337</v>
      </c>
      <c r="L58" s="61">
        <v>0.69097222222222221</v>
      </c>
      <c r="M58" s="103">
        <v>0.7006944444444444</v>
      </c>
      <c r="N58" s="61">
        <v>0.7055555555555556</v>
      </c>
      <c r="O58" s="61">
        <v>0.71875</v>
      </c>
      <c r="P58" s="103">
        <v>0.72638888888888886</v>
      </c>
      <c r="Q58" s="61">
        <v>0.73333333333333339</v>
      </c>
      <c r="R58" s="103">
        <v>0.73958333333333337</v>
      </c>
      <c r="S58" s="103">
        <v>0.74722222222222223</v>
      </c>
      <c r="T58" s="61">
        <v>0.7597222222222223</v>
      </c>
      <c r="U58" s="61">
        <v>0.7729166666666667</v>
      </c>
      <c r="V58" s="61">
        <v>0.78541666666666676</v>
      </c>
      <c r="W58" s="61">
        <v>0.7993055555555556</v>
      </c>
      <c r="X58" s="61">
        <v>0.81319444444444444</v>
      </c>
      <c r="Y58" s="61">
        <v>0.82638888888888884</v>
      </c>
      <c r="Z58" s="61">
        <v>0.8534722222222223</v>
      </c>
      <c r="AA58" s="103">
        <v>0.87222222222222223</v>
      </c>
      <c r="AB58" s="61">
        <v>0.8930555555555556</v>
      </c>
      <c r="AC58" s="61">
        <v>0.9145833333333333</v>
      </c>
      <c r="AD58" s="104">
        <v>0.93333333333333324</v>
      </c>
      <c r="AE58" s="61">
        <v>0.95208333333333339</v>
      </c>
    </row>
    <row r="59" spans="2:31" x14ac:dyDescent="0.3">
      <c r="B59" s="60" t="s">
        <v>665</v>
      </c>
      <c r="C59" s="61">
        <v>0.58263888888888882</v>
      </c>
      <c r="D59" s="61">
        <v>0.59027777777777779</v>
      </c>
      <c r="E59" s="61">
        <v>0.60347222222222219</v>
      </c>
      <c r="F59" s="61">
        <v>0.61249999999999993</v>
      </c>
      <c r="G59" s="61">
        <v>0.62430555555555556</v>
      </c>
      <c r="H59" s="61">
        <v>0.6381944444444444</v>
      </c>
      <c r="I59" s="61">
        <v>0.64861111111111114</v>
      </c>
      <c r="J59" s="61">
        <v>0.66388888888888886</v>
      </c>
      <c r="K59" s="61">
        <v>0.67847222222222225</v>
      </c>
      <c r="L59" s="61">
        <v>0.69305555555555554</v>
      </c>
      <c r="M59" s="103">
        <v>0.70208333333333339</v>
      </c>
      <c r="N59" s="61">
        <v>0.70694444444444438</v>
      </c>
      <c r="O59" s="61">
        <v>0.72083333333333333</v>
      </c>
      <c r="P59" s="103">
        <v>0.72777777777777775</v>
      </c>
      <c r="Q59" s="61">
        <v>0.73541666666666661</v>
      </c>
      <c r="R59" s="103">
        <v>0.74097222222222225</v>
      </c>
      <c r="S59" s="103">
        <v>0.74861111111111101</v>
      </c>
      <c r="T59" s="61">
        <v>0.76111111111111107</v>
      </c>
      <c r="U59" s="61">
        <v>0.77500000000000002</v>
      </c>
      <c r="V59" s="61">
        <v>0.78680555555555554</v>
      </c>
      <c r="W59" s="61">
        <v>0.80069444444444438</v>
      </c>
      <c r="X59" s="61">
        <v>0.81527777777777777</v>
      </c>
      <c r="Y59" s="61">
        <v>0.82847222222222217</v>
      </c>
      <c r="Z59" s="61">
        <v>0.85486111111111107</v>
      </c>
      <c r="AA59" s="103">
        <v>0.87361111111111101</v>
      </c>
      <c r="AB59" s="61">
        <v>0.89513888888888893</v>
      </c>
      <c r="AC59" s="61">
        <v>0.9159722222222223</v>
      </c>
      <c r="AD59" s="104">
        <v>0.93472222222222223</v>
      </c>
      <c r="AE59" s="61">
        <v>0.95416666666666661</v>
      </c>
    </row>
    <row r="60" spans="2:31" x14ac:dyDescent="0.3">
      <c r="B60" s="60" t="s">
        <v>686</v>
      </c>
      <c r="C60" s="61">
        <v>0.58402777777777781</v>
      </c>
      <c r="D60" s="61">
        <v>0.59166666666666667</v>
      </c>
      <c r="E60" s="61">
        <v>0.60486111111111118</v>
      </c>
      <c r="F60" s="61">
        <v>0.61388888888888882</v>
      </c>
      <c r="G60" s="61">
        <v>0.62569444444444444</v>
      </c>
      <c r="H60" s="61">
        <v>0.63958333333333328</v>
      </c>
      <c r="I60" s="61">
        <v>0.65</v>
      </c>
      <c r="J60" s="61">
        <v>0.66527777777777775</v>
      </c>
      <c r="K60" s="61">
        <v>0.67986111111111114</v>
      </c>
      <c r="L60" s="61">
        <v>0.69444444444444453</v>
      </c>
      <c r="M60" s="103">
        <v>0.70347222222222217</v>
      </c>
      <c r="N60" s="61">
        <v>0.70833333333333337</v>
      </c>
      <c r="O60" s="61">
        <v>0.72222222222222221</v>
      </c>
      <c r="P60" s="103">
        <v>0.72916666666666663</v>
      </c>
      <c r="Q60" s="61">
        <v>0.7368055555555556</v>
      </c>
      <c r="R60" s="103">
        <v>0.74236111111111114</v>
      </c>
      <c r="S60" s="103">
        <v>0.75</v>
      </c>
      <c r="T60" s="61">
        <v>0.76250000000000007</v>
      </c>
      <c r="U60" s="61">
        <v>0.77638888888888891</v>
      </c>
      <c r="V60" s="61">
        <v>0.78819444444444453</v>
      </c>
      <c r="W60" s="61">
        <v>0.80208333333333337</v>
      </c>
      <c r="X60" s="61">
        <v>0.81666666666666676</v>
      </c>
      <c r="Y60" s="61">
        <v>0.82986111111111116</v>
      </c>
      <c r="Z60" s="61">
        <v>0.85625000000000007</v>
      </c>
      <c r="AA60" s="103">
        <v>0.875</v>
      </c>
      <c r="AB60" s="61">
        <v>0.8965277777777777</v>
      </c>
      <c r="AC60" s="61">
        <v>0.91736111111111107</v>
      </c>
      <c r="AD60" s="104">
        <v>0.93611111111111101</v>
      </c>
      <c r="AE60" s="61">
        <v>0.9555555555555556</v>
      </c>
    </row>
    <row r="61" spans="2:31" x14ac:dyDescent="0.3">
      <c r="B61" s="60" t="s">
        <v>676</v>
      </c>
      <c r="C61" s="61">
        <v>0.58611111111111114</v>
      </c>
      <c r="D61" s="61">
        <v>0.59375</v>
      </c>
      <c r="E61" s="61">
        <v>0.60625000000000007</v>
      </c>
      <c r="F61" s="61">
        <v>0.61597222222222225</v>
      </c>
      <c r="G61" s="61">
        <v>0.62777777777777777</v>
      </c>
      <c r="H61" s="61">
        <v>0.64166666666666672</v>
      </c>
      <c r="I61" s="61">
        <v>0.65138888888888891</v>
      </c>
      <c r="J61" s="61">
        <v>0.66736111111111107</v>
      </c>
      <c r="K61" s="61">
        <v>0.68194444444444446</v>
      </c>
      <c r="L61" s="61">
        <v>0.6958333333333333</v>
      </c>
      <c r="M61" s="103">
        <v>0.7055555555555556</v>
      </c>
      <c r="N61" s="61">
        <v>0.7104166666666667</v>
      </c>
      <c r="O61" s="61">
        <v>0.72361111111111109</v>
      </c>
      <c r="P61" s="103">
        <v>0.73125000000000007</v>
      </c>
      <c r="Q61" s="61">
        <v>0.73819444444444438</v>
      </c>
      <c r="R61" s="103">
        <v>0.74444444444444446</v>
      </c>
      <c r="S61" s="103">
        <v>0.75208333333333333</v>
      </c>
      <c r="T61" s="61">
        <v>0.76458333333333339</v>
      </c>
      <c r="U61" s="61">
        <v>0.77777777777777779</v>
      </c>
      <c r="V61" s="61">
        <v>0.79027777777777775</v>
      </c>
      <c r="W61" s="61">
        <v>0.8041666666666667</v>
      </c>
      <c r="X61" s="61">
        <v>0.81805555555555554</v>
      </c>
      <c r="Y61" s="61">
        <v>0.83124999999999993</v>
      </c>
      <c r="Z61" s="61">
        <v>0.85833333333333339</v>
      </c>
      <c r="AA61" s="103">
        <v>0.87708333333333333</v>
      </c>
      <c r="AB61" s="61">
        <v>0.8979166666666667</v>
      </c>
      <c r="AC61" s="61">
        <v>0.9194444444444444</v>
      </c>
      <c r="AD61" s="104">
        <v>0.93819444444444444</v>
      </c>
      <c r="AE61" s="61">
        <v>0.95694444444444438</v>
      </c>
    </row>
    <row r="62" spans="2:31" x14ac:dyDescent="0.3">
      <c r="B62" s="60" t="s">
        <v>580</v>
      </c>
      <c r="C62" s="61">
        <v>0.58888888888888891</v>
      </c>
      <c r="D62" s="61">
        <v>0.59652777777777777</v>
      </c>
      <c r="E62" s="61">
        <v>0.60902777777777783</v>
      </c>
      <c r="F62" s="61">
        <v>0.61875000000000002</v>
      </c>
      <c r="G62" s="61">
        <v>0.63055555555555554</v>
      </c>
      <c r="H62" s="61">
        <v>0.64444444444444449</v>
      </c>
      <c r="I62" s="61">
        <v>0.65416666666666667</v>
      </c>
      <c r="J62" s="61">
        <v>0.67013888888888884</v>
      </c>
      <c r="K62" s="61">
        <v>0.68472222222222223</v>
      </c>
      <c r="L62" s="61">
        <v>0.69861111111111107</v>
      </c>
      <c r="M62" s="103">
        <v>0.70833333333333337</v>
      </c>
      <c r="N62" s="61">
        <v>0.71319444444444446</v>
      </c>
      <c r="O62" s="61">
        <v>0.72638888888888886</v>
      </c>
      <c r="P62" s="103">
        <v>0.73402777777777783</v>
      </c>
      <c r="Q62" s="61">
        <v>0.74097222222222225</v>
      </c>
      <c r="R62" s="103">
        <v>0.74722222222222223</v>
      </c>
      <c r="S62" s="103">
        <v>0.75486111111111109</v>
      </c>
      <c r="T62" s="61">
        <v>0.76736111111111116</v>
      </c>
      <c r="U62" s="61">
        <v>0.78055555555555556</v>
      </c>
      <c r="V62" s="61">
        <v>0.79305555555555562</v>
      </c>
      <c r="W62" s="61">
        <v>0.80694444444444446</v>
      </c>
      <c r="X62" s="61">
        <v>0.8208333333333333</v>
      </c>
      <c r="Y62" s="61">
        <v>0.8340277777777777</v>
      </c>
      <c r="Z62" s="61">
        <v>0.86111111111111116</v>
      </c>
      <c r="AA62" s="103">
        <v>0.87986111111111109</v>
      </c>
      <c r="AB62" s="61">
        <v>0.90069444444444446</v>
      </c>
      <c r="AC62" s="61">
        <v>0.92222222222222217</v>
      </c>
      <c r="AD62" s="104">
        <v>0.94097222222222221</v>
      </c>
      <c r="AE62" s="61">
        <v>0.95972222222222225</v>
      </c>
    </row>
    <row r="63" spans="2:31" x14ac:dyDescent="0.3">
      <c r="B63" s="60" t="s">
        <v>552</v>
      </c>
      <c r="C63" s="60" t="s">
        <v>540</v>
      </c>
      <c r="D63" s="60" t="s">
        <v>617</v>
      </c>
      <c r="E63" s="60" t="s">
        <v>593</v>
      </c>
      <c r="F63" s="60" t="s">
        <v>618</v>
      </c>
      <c r="G63" s="60" t="s">
        <v>619</v>
      </c>
      <c r="H63" s="60" t="s">
        <v>531</v>
      </c>
      <c r="I63" s="60" t="s">
        <v>620</v>
      </c>
      <c r="J63" s="60" t="s">
        <v>598</v>
      </c>
      <c r="K63" s="60" t="s">
        <v>621</v>
      </c>
      <c r="L63" s="60" t="s">
        <v>622</v>
      </c>
    </row>
    <row r="64" spans="2:31" x14ac:dyDescent="0.3">
      <c r="B64" s="60" t="s">
        <v>623</v>
      </c>
      <c r="C64" s="60" t="s">
        <v>624</v>
      </c>
      <c r="D64" s="60" t="s">
        <v>625</v>
      </c>
      <c r="E64" s="60" t="s">
        <v>626</v>
      </c>
      <c r="F64" s="60" t="s">
        <v>627</v>
      </c>
      <c r="G64" s="60" t="s">
        <v>591</v>
      </c>
      <c r="H64" s="60" t="s">
        <v>628</v>
      </c>
      <c r="I64" s="60" t="s">
        <v>629</v>
      </c>
      <c r="J64" s="60" t="s">
        <v>630</v>
      </c>
      <c r="K64" s="60" t="s">
        <v>631</v>
      </c>
      <c r="L64" s="60" t="s">
        <v>632</v>
      </c>
      <c r="M64" s="60" t="s">
        <v>628</v>
      </c>
      <c r="N64" s="60" t="s">
        <v>633</v>
      </c>
      <c r="O64" s="60" t="s">
        <v>634</v>
      </c>
      <c r="P64" s="60" t="s">
        <v>635</v>
      </c>
      <c r="Q64" s="60" t="s">
        <v>631</v>
      </c>
      <c r="R64" s="60" t="s">
        <v>636</v>
      </c>
    </row>
    <row r="65" spans="2:30" x14ac:dyDescent="0.3">
      <c r="B65" s="60" t="s">
        <v>637</v>
      </c>
      <c r="C65" s="60" t="s">
        <v>638</v>
      </c>
      <c r="D65" s="60" t="s">
        <v>602</v>
      </c>
      <c r="E65" s="60" t="s">
        <v>639</v>
      </c>
      <c r="F65" s="60" t="s">
        <v>640</v>
      </c>
      <c r="G65" s="60" t="s">
        <v>641</v>
      </c>
      <c r="H65" s="60" t="s">
        <v>638</v>
      </c>
      <c r="I65" s="60" t="s">
        <v>642</v>
      </c>
      <c r="J65" s="60" t="s">
        <v>643</v>
      </c>
      <c r="K65" s="60" t="s">
        <v>638</v>
      </c>
      <c r="L65" s="60" t="s">
        <v>602</v>
      </c>
      <c r="M65" s="60" t="s">
        <v>644</v>
      </c>
      <c r="N65" s="60" t="s">
        <v>645</v>
      </c>
      <c r="O65" s="60" t="s">
        <v>646</v>
      </c>
      <c r="P65" s="60">
        <v>2</v>
      </c>
      <c r="Q65" s="60" t="s">
        <v>533</v>
      </c>
      <c r="R65" s="60" t="s">
        <v>647</v>
      </c>
      <c r="S65" s="60" t="s">
        <v>648</v>
      </c>
      <c r="T65" s="60" t="s">
        <v>649</v>
      </c>
      <c r="U65" s="60" t="s">
        <v>650</v>
      </c>
      <c r="V65" s="60" t="s">
        <v>639</v>
      </c>
      <c r="W65" s="60" t="s">
        <v>595</v>
      </c>
      <c r="X65" s="60" t="s">
        <v>640</v>
      </c>
      <c r="Y65" s="60" t="s">
        <v>535</v>
      </c>
      <c r="Z65" s="60" t="s">
        <v>638</v>
      </c>
      <c r="AA65" s="60" t="s">
        <v>602</v>
      </c>
      <c r="AB65" s="60" t="s">
        <v>651</v>
      </c>
      <c r="AC65" s="60" t="s">
        <v>638</v>
      </c>
      <c r="AD65" s="60" t="s">
        <v>652</v>
      </c>
    </row>
    <row r="66" spans="2:30" x14ac:dyDescent="0.3">
      <c r="B66" s="60" t="s">
        <v>583</v>
      </c>
      <c r="C66" s="60" t="s">
        <v>540</v>
      </c>
      <c r="D66" s="60" t="s">
        <v>614</v>
      </c>
      <c r="E66" s="60" t="s">
        <v>531</v>
      </c>
      <c r="F66" s="60" t="s">
        <v>615</v>
      </c>
      <c r="G66" s="60" t="s">
        <v>616</v>
      </c>
    </row>
    <row r="67" spans="2:30" x14ac:dyDescent="0.3">
      <c r="B67" s="60" t="s">
        <v>539</v>
      </c>
    </row>
    <row r="68" spans="2:30" x14ac:dyDescent="0.3">
      <c r="B68" s="106"/>
      <c r="C68" s="106"/>
    </row>
    <row r="69" spans="2:30" x14ac:dyDescent="0.3">
      <c r="B69" s="106"/>
      <c r="C69" s="130" t="s">
        <v>601</v>
      </c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</row>
    <row r="70" spans="2:30" x14ac:dyDescent="0.3">
      <c r="B70" s="106"/>
      <c r="C70" s="130" t="s">
        <v>743</v>
      </c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</row>
    <row r="71" spans="2:30" x14ac:dyDescent="0.3">
      <c r="B71" s="106"/>
      <c r="C71" s="130" t="s">
        <v>744</v>
      </c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</row>
    <row r="72" spans="2:30" x14ac:dyDescent="0.3">
      <c r="B72" s="106"/>
      <c r="C72" s="130" t="s">
        <v>745</v>
      </c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</row>
    <row r="73" spans="2:30" x14ac:dyDescent="0.3">
      <c r="B73" s="106"/>
      <c r="C73" s="77"/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</row>
    <row r="74" spans="2:30" x14ac:dyDescent="0.3"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</row>
    <row r="75" spans="2:30" x14ac:dyDescent="0.3">
      <c r="C75" s="61"/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</row>
    <row r="76" spans="2:30" x14ac:dyDescent="0.3"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</row>
    <row r="77" spans="2:30" x14ac:dyDescent="0.3">
      <c r="C77" s="61"/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</row>
    <row r="78" spans="2:30" x14ac:dyDescent="0.3"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</row>
    <row r="79" spans="2:30" x14ac:dyDescent="0.3"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</row>
    <row r="80" spans="2:30" x14ac:dyDescent="0.3">
      <c r="F80" s="61"/>
      <c r="I80" s="61"/>
      <c r="L80" s="61"/>
      <c r="O80" s="61"/>
      <c r="Q80" s="61"/>
      <c r="S80" s="61"/>
      <c r="U80" s="61"/>
    </row>
    <row r="81" spans="3:21" x14ac:dyDescent="0.3">
      <c r="C81" s="61"/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</row>
    <row r="82" spans="3:21" x14ac:dyDescent="0.3"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</row>
    <row r="83" spans="3:21" x14ac:dyDescent="0.3"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</row>
    <row r="84" spans="3:21" x14ac:dyDescent="0.3">
      <c r="C84" s="61"/>
      <c r="D84" s="61"/>
      <c r="E84" s="61"/>
      <c r="F84" s="61"/>
      <c r="G84" s="61"/>
      <c r="H84" s="61"/>
      <c r="I84" s="61"/>
      <c r="J84" s="61"/>
      <c r="K84" s="61"/>
    </row>
    <row r="85" spans="3:21" x14ac:dyDescent="0.3">
      <c r="C85" s="61"/>
      <c r="D85" s="61"/>
      <c r="E85" s="61"/>
      <c r="F85" s="61"/>
      <c r="G85" s="61"/>
      <c r="H85" s="61"/>
      <c r="I85" s="61"/>
      <c r="J85" s="61"/>
      <c r="K85" s="61"/>
    </row>
    <row r="86" spans="3:21" x14ac:dyDescent="0.3">
      <c r="F86" s="61"/>
    </row>
    <row r="87" spans="3:21" x14ac:dyDescent="0.3">
      <c r="C87" s="61"/>
      <c r="D87" s="61"/>
      <c r="E87" s="61"/>
      <c r="F87" s="61"/>
      <c r="G87" s="61"/>
      <c r="H87" s="61"/>
      <c r="I87" s="61"/>
      <c r="J87" s="61"/>
    </row>
    <row r="88" spans="3:21" x14ac:dyDescent="0.3">
      <c r="D88" s="61"/>
      <c r="E88" s="61"/>
      <c r="F88" s="61"/>
      <c r="G88" s="61"/>
      <c r="H88" s="61"/>
      <c r="I88" s="61"/>
      <c r="J88" s="61"/>
      <c r="K88" s="61"/>
    </row>
    <row r="89" spans="3:21" x14ac:dyDescent="0.3">
      <c r="D89" s="61"/>
      <c r="E89" s="61"/>
      <c r="F89" s="61"/>
      <c r="G89" s="61"/>
      <c r="H89" s="61"/>
      <c r="I89" s="61"/>
      <c r="J89" s="61"/>
      <c r="K89" s="61"/>
    </row>
    <row r="90" spans="3:21" x14ac:dyDescent="0.3">
      <c r="C90" s="61"/>
      <c r="D90" s="61"/>
      <c r="E90" s="61"/>
      <c r="F90" s="61"/>
      <c r="G90" s="61"/>
      <c r="H90" s="61"/>
      <c r="I90" s="61"/>
      <c r="J90" s="61"/>
    </row>
    <row r="91" spans="3:21" x14ac:dyDescent="0.3">
      <c r="D91" s="61"/>
      <c r="E91" s="61"/>
      <c r="F91" s="61"/>
      <c r="G91" s="61"/>
      <c r="H91" s="61"/>
      <c r="I91" s="61"/>
      <c r="J91" s="61"/>
    </row>
    <row r="92" spans="3:21" x14ac:dyDescent="0.3">
      <c r="C92" s="61"/>
      <c r="D92" s="61"/>
      <c r="E92" s="61"/>
      <c r="F92" s="61"/>
      <c r="G92" s="61"/>
      <c r="H92" s="61"/>
      <c r="I92" s="61"/>
    </row>
    <row r="93" spans="3:21" x14ac:dyDescent="0.3">
      <c r="C93" s="61"/>
      <c r="D93" s="61"/>
      <c r="E93" s="61"/>
      <c r="F93" s="61"/>
      <c r="G93" s="61"/>
      <c r="H93" s="61"/>
      <c r="I93" s="61"/>
    </row>
    <row r="94" spans="3:21" x14ac:dyDescent="0.3">
      <c r="C94" s="61"/>
      <c r="D94" s="61"/>
      <c r="E94" s="61"/>
      <c r="F94" s="61"/>
      <c r="G94" s="61"/>
      <c r="H94" s="61"/>
      <c r="I94" s="61"/>
    </row>
    <row r="95" spans="3:21" x14ac:dyDescent="0.3">
      <c r="D95" s="61"/>
      <c r="F95" s="61"/>
      <c r="I95" s="61"/>
    </row>
    <row r="96" spans="3:21" x14ac:dyDescent="0.3">
      <c r="C96" s="61"/>
      <c r="D96" s="61"/>
      <c r="E96" s="61"/>
      <c r="F96" s="61"/>
      <c r="G96" s="61"/>
      <c r="H96" s="61"/>
      <c r="I96" s="61"/>
    </row>
    <row r="97" spans="3:29" x14ac:dyDescent="0.3">
      <c r="C97" s="61"/>
      <c r="D97" s="61"/>
      <c r="E97" s="61"/>
      <c r="F97" s="61"/>
      <c r="G97" s="61"/>
      <c r="H97" s="61"/>
    </row>
    <row r="99" spans="3:29" x14ac:dyDescent="0.3"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</row>
    <row r="100" spans="3:29" x14ac:dyDescent="0.3"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</row>
    <row r="101" spans="3:29" x14ac:dyDescent="0.3">
      <c r="C101" s="61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</row>
    <row r="102" spans="3:29" x14ac:dyDescent="0.3">
      <c r="C102" s="61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</row>
    <row r="103" spans="3:29" x14ac:dyDescent="0.3"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</row>
    <row r="104" spans="3:29" x14ac:dyDescent="0.3"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</row>
    <row r="105" spans="3:29" x14ac:dyDescent="0.3"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</row>
    <row r="106" spans="3:29" x14ac:dyDescent="0.3">
      <c r="C106" s="61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</row>
    <row r="107" spans="3:29" x14ac:dyDescent="0.3"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</row>
    <row r="108" spans="3:29" x14ac:dyDescent="0.3"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</row>
    <row r="109" spans="3:29" x14ac:dyDescent="0.3"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</row>
    <row r="110" spans="3:29" x14ac:dyDescent="0.3">
      <c r="E110" s="61"/>
      <c r="H110" s="61"/>
      <c r="K110" s="61"/>
      <c r="N110" s="61"/>
      <c r="R110" s="61"/>
      <c r="T110" s="61"/>
      <c r="V110" s="61"/>
    </row>
    <row r="111" spans="3:29" x14ac:dyDescent="0.3"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</row>
    <row r="112" spans="3:29" x14ac:dyDescent="0.3"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</row>
    <row r="113" spans="3:24" x14ac:dyDescent="0.3"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</row>
    <row r="114" spans="3:24" x14ac:dyDescent="0.3">
      <c r="C114" s="61"/>
      <c r="D114" s="61"/>
      <c r="E114" s="61"/>
      <c r="F114" s="61"/>
      <c r="G114" s="61"/>
      <c r="H114" s="61"/>
      <c r="I114" s="61"/>
      <c r="J114" s="61"/>
      <c r="K114" s="61"/>
    </row>
    <row r="115" spans="3:24" x14ac:dyDescent="0.3">
      <c r="C115" s="61"/>
      <c r="D115" s="61"/>
      <c r="E115" s="61"/>
      <c r="F115" s="61"/>
      <c r="G115" s="61"/>
      <c r="H115" s="61"/>
      <c r="I115" s="61"/>
      <c r="J115" s="61"/>
      <c r="K115" s="61"/>
    </row>
    <row r="116" spans="3:24" x14ac:dyDescent="0.3">
      <c r="D116" s="61"/>
      <c r="G116" s="61"/>
    </row>
    <row r="117" spans="3:24" x14ac:dyDescent="0.3">
      <c r="C117" s="61"/>
      <c r="D117" s="61"/>
      <c r="E117" s="61"/>
      <c r="F117" s="61"/>
      <c r="G117" s="61"/>
      <c r="H117" s="61"/>
      <c r="I117" s="61"/>
    </row>
    <row r="118" spans="3:24" x14ac:dyDescent="0.3">
      <c r="D118" s="61"/>
      <c r="E118" s="61"/>
      <c r="F118" s="61"/>
      <c r="G118" s="61"/>
      <c r="H118" s="61"/>
      <c r="I118" s="61"/>
      <c r="J118" s="61"/>
    </row>
    <row r="119" spans="3:24" x14ac:dyDescent="0.3">
      <c r="D119" s="61"/>
      <c r="E119" s="61"/>
      <c r="F119" s="61"/>
      <c r="G119" s="61"/>
      <c r="H119" s="61"/>
      <c r="I119" s="61"/>
      <c r="J119" s="61"/>
    </row>
    <row r="120" spans="3:24" x14ac:dyDescent="0.3">
      <c r="C120" s="61"/>
      <c r="D120" s="61"/>
      <c r="E120" s="61"/>
      <c r="F120" s="61"/>
      <c r="G120" s="61"/>
      <c r="H120" s="61"/>
      <c r="I120" s="61"/>
    </row>
    <row r="121" spans="3:24" x14ac:dyDescent="0.3">
      <c r="D121" s="61"/>
      <c r="E121" s="61"/>
      <c r="F121" s="61"/>
      <c r="G121" s="61"/>
      <c r="H121" s="61"/>
      <c r="I121" s="61"/>
      <c r="J121" s="61"/>
    </row>
    <row r="122" spans="3:24" x14ac:dyDescent="0.3">
      <c r="C122" s="61"/>
      <c r="D122" s="61"/>
      <c r="E122" s="61"/>
      <c r="F122" s="61"/>
      <c r="G122" s="61"/>
      <c r="H122" s="61"/>
      <c r="I122" s="61"/>
    </row>
    <row r="123" spans="3:24" x14ac:dyDescent="0.3">
      <c r="C123" s="61"/>
      <c r="D123" s="61"/>
      <c r="E123" s="61"/>
      <c r="F123" s="61"/>
      <c r="G123" s="61"/>
      <c r="H123" s="61"/>
      <c r="I123" s="61"/>
    </row>
    <row r="124" spans="3:24" x14ac:dyDescent="0.3">
      <c r="C124" s="61"/>
      <c r="D124" s="61"/>
      <c r="E124" s="61"/>
      <c r="F124" s="61"/>
      <c r="G124" s="61"/>
      <c r="H124" s="61"/>
      <c r="I124" s="61"/>
    </row>
    <row r="125" spans="3:24" x14ac:dyDescent="0.3">
      <c r="D125" s="61"/>
      <c r="F125" s="61"/>
      <c r="H125" s="61"/>
      <c r="J125" s="61"/>
    </row>
    <row r="126" spans="3:24" x14ac:dyDescent="0.3">
      <c r="C126" s="61"/>
      <c r="D126" s="61"/>
      <c r="E126" s="61"/>
      <c r="F126" s="61"/>
      <c r="G126" s="61"/>
      <c r="H126" s="61"/>
      <c r="I126" s="61"/>
    </row>
    <row r="127" spans="3:24" x14ac:dyDescent="0.3">
      <c r="C127" s="61"/>
      <c r="D127" s="61"/>
      <c r="E127" s="61"/>
      <c r="F127" s="61"/>
      <c r="G127" s="61"/>
      <c r="H127" s="6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B420C-51FD-458B-94E6-A96F2500373A}">
  <sheetPr codeName="Sheet7"/>
  <dimension ref="B2:AM67"/>
  <sheetViews>
    <sheetView zoomScale="50" zoomScaleNormal="50" workbookViewId="0">
      <selection activeCell="W25" sqref="W25"/>
    </sheetView>
  </sheetViews>
  <sheetFormatPr defaultRowHeight="14.4" x14ac:dyDescent="0.3"/>
  <cols>
    <col min="1" max="16384" width="8.88671875" style="60"/>
  </cols>
  <sheetData>
    <row r="2" spans="2:39" x14ac:dyDescent="0.3">
      <c r="B2" s="60" t="s">
        <v>581</v>
      </c>
      <c r="C2" s="60" t="s">
        <v>582</v>
      </c>
      <c r="D2" s="60">
        <v>501</v>
      </c>
      <c r="E2" s="60">
        <v>503</v>
      </c>
      <c r="F2" s="60" t="s">
        <v>583</v>
      </c>
      <c r="G2" s="60">
        <v>505</v>
      </c>
      <c r="H2" s="60" t="s">
        <v>583</v>
      </c>
      <c r="I2" s="60">
        <v>507</v>
      </c>
      <c r="J2" s="60">
        <v>509</v>
      </c>
      <c r="K2" s="60" t="s">
        <v>583</v>
      </c>
      <c r="L2" s="60">
        <v>703</v>
      </c>
      <c r="M2" s="60" t="s">
        <v>583</v>
      </c>
      <c r="N2" s="60">
        <v>511</v>
      </c>
      <c r="O2" s="60">
        <v>513</v>
      </c>
      <c r="P2" s="60">
        <v>515</v>
      </c>
      <c r="Q2" s="60" t="s">
        <v>583</v>
      </c>
      <c r="R2" s="60">
        <v>517</v>
      </c>
      <c r="S2" s="60">
        <v>519</v>
      </c>
      <c r="T2" s="60" t="s">
        <v>583</v>
      </c>
      <c r="U2" s="60">
        <v>521</v>
      </c>
      <c r="V2" s="60">
        <v>523</v>
      </c>
      <c r="W2" s="60">
        <v>525</v>
      </c>
      <c r="X2" s="60">
        <v>527</v>
      </c>
      <c r="Y2" s="60">
        <v>529</v>
      </c>
      <c r="Z2" s="60" t="s">
        <v>583</v>
      </c>
      <c r="AA2" s="60">
        <v>531</v>
      </c>
      <c r="AB2" s="60">
        <v>715</v>
      </c>
      <c r="AC2" s="60">
        <v>533</v>
      </c>
      <c r="AD2" s="60">
        <v>535</v>
      </c>
      <c r="AE2" s="60" t="s">
        <v>583</v>
      </c>
      <c r="AF2" s="60">
        <v>537</v>
      </c>
      <c r="AG2" s="60">
        <v>539</v>
      </c>
      <c r="AH2" s="60">
        <v>541</v>
      </c>
      <c r="AI2" s="60">
        <v>543</v>
      </c>
      <c r="AJ2" s="60">
        <v>545</v>
      </c>
      <c r="AK2" s="60">
        <v>717</v>
      </c>
      <c r="AL2" s="60">
        <v>547</v>
      </c>
      <c r="AM2" s="60">
        <v>719</v>
      </c>
    </row>
    <row r="3" spans="2:39" x14ac:dyDescent="0.3">
      <c r="B3" s="60" t="s">
        <v>580</v>
      </c>
      <c r="C3" s="61">
        <v>0.26041666666666669</v>
      </c>
      <c r="D3" s="103">
        <v>0.27291666666666664</v>
      </c>
      <c r="E3" s="103">
        <v>0.28958333333333336</v>
      </c>
      <c r="F3" s="61">
        <v>0.30486111111111108</v>
      </c>
      <c r="G3" s="103">
        <v>0.31736111111111115</v>
      </c>
      <c r="H3" s="103">
        <v>0.32430555555555557</v>
      </c>
      <c r="I3" s="61">
        <v>0.33124999999999999</v>
      </c>
      <c r="J3" s="61">
        <v>0.33749999999999997</v>
      </c>
      <c r="K3" s="103">
        <v>0.34513888888888888</v>
      </c>
      <c r="L3" s="61">
        <v>0.35833333333333334</v>
      </c>
      <c r="M3" s="103">
        <v>0.36458333333333331</v>
      </c>
      <c r="N3" s="61">
        <v>0.37152777777777773</v>
      </c>
      <c r="O3" s="61">
        <v>0.38541666666666669</v>
      </c>
      <c r="P3" s="61">
        <v>0.40208333333333335</v>
      </c>
      <c r="Q3" s="61">
        <v>0.41875000000000001</v>
      </c>
      <c r="R3" s="103">
        <v>0.43124999999999997</v>
      </c>
      <c r="S3" s="61">
        <v>0.4465277777777778</v>
      </c>
      <c r="T3" s="61">
        <v>0.46111111111111108</v>
      </c>
      <c r="U3" s="61">
        <v>0.47361111111111115</v>
      </c>
      <c r="V3" s="103">
        <v>0.48749999999999999</v>
      </c>
      <c r="W3" s="61">
        <v>0.50208333333333333</v>
      </c>
      <c r="X3" s="61">
        <v>0.51388888888888895</v>
      </c>
      <c r="Y3" s="61">
        <v>0.52500000000000002</v>
      </c>
      <c r="Z3" s="61">
        <v>0.54652777777777783</v>
      </c>
      <c r="AA3" s="61">
        <v>0.56666666666666665</v>
      </c>
      <c r="AB3" s="61">
        <v>0.57291666666666663</v>
      </c>
      <c r="AC3" s="61">
        <v>0.58958333333333335</v>
      </c>
      <c r="AD3" s="61">
        <v>0.59722222222222221</v>
      </c>
    </row>
    <row r="4" spans="2:39" x14ac:dyDescent="0.3">
      <c r="B4" s="60" t="s">
        <v>676</v>
      </c>
      <c r="C4" s="61">
        <v>0.26250000000000001</v>
      </c>
      <c r="D4" s="103">
        <v>0.27499999999999997</v>
      </c>
      <c r="E4" s="103">
        <v>0.29166666666666669</v>
      </c>
      <c r="F4" s="61">
        <v>0.30694444444444441</v>
      </c>
      <c r="G4" s="103">
        <v>0.31944444444444448</v>
      </c>
      <c r="H4" s="103">
        <v>0.3263888888888889</v>
      </c>
      <c r="I4" s="61">
        <v>0.33333333333333331</v>
      </c>
      <c r="J4" s="61">
        <v>0.33958333333333335</v>
      </c>
      <c r="K4" s="103">
        <v>0.34722222222222227</v>
      </c>
      <c r="L4" s="61">
        <v>0.36041666666666666</v>
      </c>
      <c r="M4" s="103">
        <v>0.3666666666666667</v>
      </c>
      <c r="N4" s="61">
        <v>0.37361111111111112</v>
      </c>
      <c r="O4" s="61">
        <v>0.38750000000000001</v>
      </c>
      <c r="P4" s="61">
        <v>0.40416666666666662</v>
      </c>
      <c r="Q4" s="61">
        <v>0.42083333333333334</v>
      </c>
      <c r="R4" s="103">
        <v>0.43333333333333335</v>
      </c>
      <c r="S4" s="61">
        <v>0.44861111111111113</v>
      </c>
      <c r="T4" s="61">
        <v>0.46319444444444446</v>
      </c>
      <c r="U4" s="61">
        <v>0.47569444444444442</v>
      </c>
      <c r="V4" s="103">
        <v>0.48958333333333331</v>
      </c>
      <c r="W4" s="61">
        <v>0.50416666666666665</v>
      </c>
      <c r="X4" s="61">
        <v>0.51597222222222217</v>
      </c>
      <c r="Y4" s="61">
        <v>0.52708333333333335</v>
      </c>
      <c r="Z4" s="61">
        <v>0.54861111111111105</v>
      </c>
      <c r="AA4" s="61">
        <v>0.56874999999999998</v>
      </c>
      <c r="AB4" s="61">
        <v>0.57500000000000007</v>
      </c>
      <c r="AC4" s="61">
        <v>0.59166666666666667</v>
      </c>
      <c r="AD4" s="61">
        <v>0.59930555555555554</v>
      </c>
    </row>
    <row r="5" spans="2:39" x14ac:dyDescent="0.3">
      <c r="B5" s="60" t="s">
        <v>686</v>
      </c>
      <c r="C5" s="61">
        <v>0.26458333333333334</v>
      </c>
      <c r="D5" s="103">
        <v>0.27708333333333335</v>
      </c>
      <c r="E5" s="103">
        <v>0.29375000000000001</v>
      </c>
      <c r="F5" s="61">
        <v>0.30902777777777779</v>
      </c>
      <c r="G5" s="103">
        <v>0.3215277777777778</v>
      </c>
      <c r="H5" s="103">
        <v>0.32847222222222222</v>
      </c>
      <c r="I5" s="61">
        <v>0.3354166666666667</v>
      </c>
      <c r="J5" s="61">
        <v>0.34166666666666662</v>
      </c>
      <c r="K5" s="103">
        <v>0.34930555555555554</v>
      </c>
      <c r="L5" s="61">
        <v>0.36249999999999999</v>
      </c>
      <c r="M5" s="103">
        <v>0.36874999999999997</v>
      </c>
      <c r="N5" s="61">
        <v>0.3756944444444445</v>
      </c>
      <c r="O5" s="61">
        <v>0.38958333333333334</v>
      </c>
      <c r="P5" s="61">
        <v>0.40625</v>
      </c>
      <c r="Q5" s="61">
        <v>0.42291666666666666</v>
      </c>
      <c r="R5" s="103">
        <v>0.43541666666666662</v>
      </c>
      <c r="S5" s="61">
        <v>0.45069444444444445</v>
      </c>
      <c r="T5" s="61">
        <v>0.46527777777777773</v>
      </c>
      <c r="U5" s="61">
        <v>0.4777777777777778</v>
      </c>
      <c r="V5" s="103">
        <v>0.4916666666666667</v>
      </c>
      <c r="W5" s="61">
        <v>0.50624999999999998</v>
      </c>
      <c r="X5" s="61">
        <v>0.5180555555555556</v>
      </c>
      <c r="Y5" s="61">
        <v>0.52916666666666667</v>
      </c>
      <c r="Z5" s="61">
        <v>0.55069444444444449</v>
      </c>
      <c r="AA5" s="61">
        <v>0.5708333333333333</v>
      </c>
      <c r="AB5" s="61">
        <v>0.57708333333333328</v>
      </c>
      <c r="AC5" s="61">
        <v>0.59375</v>
      </c>
      <c r="AD5" s="61">
        <v>0.60138888888888886</v>
      </c>
    </row>
    <row r="6" spans="2:39" x14ac:dyDescent="0.3">
      <c r="B6" s="60" t="s">
        <v>665</v>
      </c>
      <c r="C6" s="61">
        <v>0.26597222222222222</v>
      </c>
      <c r="D6" s="103">
        <v>0.27847222222222223</v>
      </c>
      <c r="E6" s="103">
        <v>0.2951388888888889</v>
      </c>
      <c r="F6" s="61">
        <v>0.31041666666666667</v>
      </c>
      <c r="G6" s="103">
        <v>0.32291666666666669</v>
      </c>
      <c r="H6" s="103">
        <v>0.3298611111111111</v>
      </c>
      <c r="I6" s="61">
        <v>0.33680555555555558</v>
      </c>
      <c r="J6" s="61">
        <v>0.3430555555555555</v>
      </c>
      <c r="K6" s="103">
        <v>0.35069444444444442</v>
      </c>
      <c r="L6" s="61">
        <v>0.36388888888888887</v>
      </c>
      <c r="M6" s="103">
        <v>0.37013888888888885</v>
      </c>
      <c r="N6" s="61">
        <v>0.37708333333333338</v>
      </c>
      <c r="O6" s="61">
        <v>0.39097222222222222</v>
      </c>
      <c r="P6" s="61">
        <v>0.40763888888888888</v>
      </c>
      <c r="Q6" s="61">
        <v>0.42430555555555555</v>
      </c>
      <c r="R6" s="103">
        <v>0.4368055555555555</v>
      </c>
      <c r="S6" s="61">
        <v>0.45208333333333334</v>
      </c>
      <c r="T6" s="61">
        <v>0.46666666666666662</v>
      </c>
      <c r="U6" s="61">
        <v>0.47916666666666669</v>
      </c>
      <c r="V6" s="103">
        <v>0.49305555555555558</v>
      </c>
      <c r="W6" s="61">
        <v>0.50763888888888886</v>
      </c>
      <c r="X6" s="61">
        <v>0.51944444444444449</v>
      </c>
      <c r="Y6" s="61">
        <v>0.53055555555555556</v>
      </c>
      <c r="Z6" s="61">
        <v>0.55208333333333337</v>
      </c>
      <c r="AA6" s="61">
        <v>0.57222222222222219</v>
      </c>
      <c r="AB6" s="61">
        <v>0.57847222222222217</v>
      </c>
      <c r="AC6" s="61">
        <v>0.59513888888888888</v>
      </c>
      <c r="AD6" s="61">
        <v>0.60277777777777775</v>
      </c>
    </row>
    <row r="7" spans="2:39" x14ac:dyDescent="0.3">
      <c r="B7" s="60" t="s">
        <v>683</v>
      </c>
      <c r="C7" s="61">
        <v>0.2673611111111111</v>
      </c>
      <c r="D7" s="103">
        <v>0.27986111111111112</v>
      </c>
      <c r="E7" s="103">
        <v>0.29652777777777778</v>
      </c>
      <c r="F7" s="61">
        <v>0.31180555555555556</v>
      </c>
      <c r="G7" s="103">
        <v>0.32430555555555557</v>
      </c>
      <c r="H7" s="103">
        <v>0.33124999999999999</v>
      </c>
      <c r="I7" s="61">
        <v>0.33819444444444446</v>
      </c>
      <c r="J7" s="61">
        <v>0.3444444444444445</v>
      </c>
      <c r="K7" s="103">
        <v>0.3520833333333333</v>
      </c>
      <c r="L7" s="61">
        <v>0.36527777777777781</v>
      </c>
      <c r="M7" s="103">
        <v>0.37152777777777773</v>
      </c>
      <c r="N7" s="61">
        <v>0.37847222222222227</v>
      </c>
      <c r="O7" s="61">
        <v>0.3923611111111111</v>
      </c>
      <c r="P7" s="61">
        <v>0.40902777777777777</v>
      </c>
      <c r="Q7" s="61">
        <v>0.42569444444444443</v>
      </c>
      <c r="R7" s="103">
        <v>0.4381944444444445</v>
      </c>
      <c r="S7" s="61">
        <v>0.45347222222222222</v>
      </c>
      <c r="T7" s="61">
        <v>0.4680555555555555</v>
      </c>
      <c r="U7" s="61">
        <v>0.48055555555555557</v>
      </c>
      <c r="V7" s="103">
        <v>0.49444444444444446</v>
      </c>
      <c r="W7" s="61">
        <v>0.50902777777777775</v>
      </c>
      <c r="X7" s="61">
        <v>0.52083333333333337</v>
      </c>
      <c r="Y7" s="61">
        <v>0.53194444444444444</v>
      </c>
      <c r="Z7" s="61">
        <v>0.55347222222222225</v>
      </c>
      <c r="AA7" s="61">
        <v>0.57361111111111118</v>
      </c>
      <c r="AB7" s="61">
        <v>0.57986111111111105</v>
      </c>
      <c r="AC7" s="61">
        <v>0.59652777777777777</v>
      </c>
      <c r="AD7" s="61">
        <v>0.60416666666666663</v>
      </c>
    </row>
    <row r="8" spans="2:39" x14ac:dyDescent="0.3">
      <c r="B8" s="60" t="s">
        <v>678</v>
      </c>
      <c r="C8" s="61">
        <v>0.26874999999999999</v>
      </c>
      <c r="D8" s="103">
        <v>0.28125</v>
      </c>
      <c r="E8" s="103">
        <v>0.29791666666666666</v>
      </c>
      <c r="F8" s="61">
        <v>0.31319444444444444</v>
      </c>
      <c r="G8" s="103">
        <v>0.32569444444444445</v>
      </c>
      <c r="H8" s="103">
        <v>0.33263888888888887</v>
      </c>
      <c r="I8" s="61">
        <v>0.33958333333333335</v>
      </c>
      <c r="J8" s="61">
        <v>0.34583333333333338</v>
      </c>
      <c r="K8" s="103">
        <v>0.35347222222222219</v>
      </c>
      <c r="L8" s="61">
        <v>0.3666666666666667</v>
      </c>
      <c r="M8" s="103">
        <v>0.37291666666666662</v>
      </c>
      <c r="N8" s="61">
        <v>0.37986111111111115</v>
      </c>
      <c r="O8" s="61">
        <v>0.39374999999999999</v>
      </c>
      <c r="P8" s="61">
        <v>0.41041666666666665</v>
      </c>
      <c r="Q8" s="61">
        <v>0.42708333333333331</v>
      </c>
      <c r="R8" s="103">
        <v>0.43958333333333338</v>
      </c>
      <c r="S8" s="61">
        <v>0.4548611111111111</v>
      </c>
      <c r="T8" s="61">
        <v>0.4694444444444445</v>
      </c>
      <c r="U8" s="61">
        <v>0.48194444444444445</v>
      </c>
      <c r="V8" s="103">
        <v>0.49583333333333335</v>
      </c>
      <c r="W8" s="61">
        <v>0.51041666666666663</v>
      </c>
      <c r="X8" s="61">
        <v>0.52222222222222225</v>
      </c>
      <c r="Y8" s="61">
        <v>0.53333333333333333</v>
      </c>
      <c r="Z8" s="61">
        <v>0.55486111111111114</v>
      </c>
      <c r="AA8" s="61">
        <v>0.57500000000000007</v>
      </c>
      <c r="AB8" s="61">
        <v>0.58124999999999993</v>
      </c>
      <c r="AC8" s="61">
        <v>0.59791666666666665</v>
      </c>
      <c r="AD8" s="61">
        <v>0.60555555555555551</v>
      </c>
    </row>
    <row r="9" spans="2:39" x14ac:dyDescent="0.3">
      <c r="B9" s="60" t="s">
        <v>663</v>
      </c>
      <c r="C9" s="61">
        <v>0.27013888888888887</v>
      </c>
      <c r="D9" s="103">
        <v>0.28263888888888888</v>
      </c>
      <c r="E9" s="103">
        <v>0.29930555555555555</v>
      </c>
      <c r="F9" s="61">
        <v>0.31458333333333333</v>
      </c>
      <c r="G9" s="103">
        <v>0.32708333333333334</v>
      </c>
      <c r="H9" s="103">
        <v>0.33402777777777781</v>
      </c>
      <c r="I9" s="61">
        <v>0.34097222222222223</v>
      </c>
      <c r="J9" s="61">
        <v>0.34722222222222227</v>
      </c>
      <c r="K9" s="103">
        <v>0.35486111111111113</v>
      </c>
      <c r="L9" s="61">
        <v>0.36805555555555558</v>
      </c>
      <c r="M9" s="103">
        <v>0.3743055555555555</v>
      </c>
      <c r="N9" s="61">
        <v>0.38125000000000003</v>
      </c>
      <c r="O9" s="61">
        <v>0.39513888888888887</v>
      </c>
      <c r="P9" s="61">
        <v>0.41180555555555554</v>
      </c>
      <c r="Q9" s="61">
        <v>0.4284722222222222</v>
      </c>
      <c r="R9" s="103">
        <v>0.44097222222222227</v>
      </c>
      <c r="S9" s="61">
        <v>0.45624999999999999</v>
      </c>
      <c r="T9" s="61">
        <v>0.47083333333333338</v>
      </c>
      <c r="U9" s="61">
        <v>0.48333333333333334</v>
      </c>
      <c r="V9" s="103">
        <v>0.49722222222222223</v>
      </c>
      <c r="W9" s="61">
        <v>0.51180555555555551</v>
      </c>
      <c r="X9" s="61">
        <v>0.52361111111111114</v>
      </c>
      <c r="Y9" s="61">
        <v>0.53472222222222221</v>
      </c>
      <c r="Z9" s="61">
        <v>0.55625000000000002</v>
      </c>
      <c r="AA9" s="61">
        <v>0.57638888888888895</v>
      </c>
      <c r="AB9" s="61">
        <v>0.58263888888888882</v>
      </c>
      <c r="AC9" s="61">
        <v>0.59930555555555554</v>
      </c>
      <c r="AD9" s="61">
        <v>0.6069444444444444</v>
      </c>
    </row>
    <row r="10" spans="2:39" x14ac:dyDescent="0.3">
      <c r="B10" s="60" t="s">
        <v>668</v>
      </c>
      <c r="C10" s="61">
        <v>0.27152777777777776</v>
      </c>
      <c r="D10" s="103">
        <v>0.28402777777777777</v>
      </c>
      <c r="E10" s="103">
        <v>0.30069444444444443</v>
      </c>
      <c r="F10" s="61">
        <v>0.31597222222222221</v>
      </c>
      <c r="G10" s="103">
        <v>0.32847222222222222</v>
      </c>
      <c r="H10" s="103">
        <v>0.3354166666666667</v>
      </c>
      <c r="I10" s="61">
        <v>0.34236111111111112</v>
      </c>
      <c r="J10" s="61">
        <v>0.34861111111111115</v>
      </c>
      <c r="K10" s="103">
        <v>0.35625000000000001</v>
      </c>
      <c r="L10" s="61">
        <v>0.36944444444444446</v>
      </c>
      <c r="M10" s="103">
        <v>0.3756944444444445</v>
      </c>
      <c r="N10" s="61">
        <v>0.38263888888888892</v>
      </c>
      <c r="O10" s="61">
        <v>0.39652777777777781</v>
      </c>
      <c r="P10" s="61">
        <v>0.41319444444444442</v>
      </c>
      <c r="Q10" s="61">
        <v>0.42986111111111108</v>
      </c>
      <c r="R10" s="103">
        <v>0.44236111111111115</v>
      </c>
      <c r="S10" s="61">
        <v>0.45763888888888887</v>
      </c>
      <c r="T10" s="61">
        <v>0.47222222222222227</v>
      </c>
      <c r="U10" s="61">
        <v>0.48472222222222222</v>
      </c>
      <c r="V10" s="103">
        <v>0.49861111111111112</v>
      </c>
      <c r="W10" s="61">
        <v>0.5131944444444444</v>
      </c>
      <c r="X10" s="61">
        <v>0.52500000000000002</v>
      </c>
      <c r="Y10" s="61">
        <v>0.53611111111111109</v>
      </c>
      <c r="Z10" s="61">
        <v>0.55763888888888891</v>
      </c>
      <c r="AA10" s="61">
        <v>0.57777777777777783</v>
      </c>
      <c r="AB10" s="61">
        <v>0.58402777777777781</v>
      </c>
      <c r="AC10" s="61">
        <v>0.60069444444444442</v>
      </c>
      <c r="AD10" s="61">
        <v>0.60833333333333328</v>
      </c>
    </row>
    <row r="11" spans="2:39" x14ac:dyDescent="0.3">
      <c r="B11" s="60" t="s">
        <v>682</v>
      </c>
      <c r="C11" s="61">
        <v>0.27361111111111108</v>
      </c>
      <c r="D11" s="103">
        <v>0.28611111111111115</v>
      </c>
      <c r="E11" s="103">
        <v>0.30277777777777776</v>
      </c>
      <c r="F11" s="61">
        <v>0.31805555555555554</v>
      </c>
      <c r="G11" s="103">
        <v>0.33055555555555555</v>
      </c>
      <c r="H11" s="103">
        <v>0.33680555555555558</v>
      </c>
      <c r="I11" s="61">
        <v>0.3444444444444445</v>
      </c>
      <c r="J11" s="61">
        <v>0.35000000000000003</v>
      </c>
      <c r="K11" s="103">
        <v>0.35833333333333334</v>
      </c>
      <c r="L11" s="61">
        <v>0.37152777777777773</v>
      </c>
      <c r="M11" s="103">
        <v>0.37708333333333338</v>
      </c>
      <c r="N11" s="61">
        <v>0.38472222222222219</v>
      </c>
      <c r="O11" s="61">
        <v>0.39861111111111108</v>
      </c>
      <c r="P11" s="61">
        <v>0.4152777777777778</v>
      </c>
      <c r="Q11" s="61">
        <v>0.43194444444444446</v>
      </c>
      <c r="R11" s="103">
        <v>0.44375000000000003</v>
      </c>
      <c r="S11" s="61">
        <v>0.4597222222222222</v>
      </c>
      <c r="T11" s="61">
        <v>0.47361111111111115</v>
      </c>
      <c r="U11" s="61">
        <v>0.48680555555555555</v>
      </c>
      <c r="V11" s="103">
        <v>0.5</v>
      </c>
      <c r="W11" s="61">
        <v>0.51527777777777783</v>
      </c>
      <c r="X11" s="61">
        <v>0.52638888888888891</v>
      </c>
      <c r="Y11" s="61">
        <v>0.53819444444444442</v>
      </c>
      <c r="Z11" s="61">
        <v>0.55972222222222223</v>
      </c>
      <c r="AA11" s="61">
        <v>0.57986111111111105</v>
      </c>
      <c r="AB11" s="61">
        <v>0.5854166666666667</v>
      </c>
      <c r="AC11" s="61">
        <v>0.60277777777777775</v>
      </c>
      <c r="AD11" s="61">
        <v>0.60972222222222217</v>
      </c>
    </row>
    <row r="12" spans="2:39" x14ac:dyDescent="0.3">
      <c r="B12" s="60" t="s">
        <v>673</v>
      </c>
      <c r="C12" s="61">
        <v>0.27499999999999997</v>
      </c>
      <c r="D12" s="103">
        <v>0.28750000000000003</v>
      </c>
      <c r="E12" s="103">
        <v>0.30416666666666664</v>
      </c>
      <c r="F12" s="61">
        <v>0.31944444444444448</v>
      </c>
      <c r="G12" s="103">
        <v>0.33194444444444443</v>
      </c>
      <c r="H12" s="61">
        <v>0.34583333333333338</v>
      </c>
      <c r="I12" s="103">
        <v>0.35972222222222222</v>
      </c>
      <c r="J12" s="61">
        <v>0.37291666666666662</v>
      </c>
      <c r="K12" s="61">
        <v>0.38611111111111113</v>
      </c>
      <c r="L12" s="61">
        <v>0.39999999999999997</v>
      </c>
      <c r="M12" s="61">
        <v>0.41666666666666669</v>
      </c>
      <c r="N12" s="61">
        <v>0.43333333333333335</v>
      </c>
      <c r="O12" s="61">
        <v>0.46111111111111108</v>
      </c>
      <c r="P12" s="61">
        <v>0.48819444444444443</v>
      </c>
      <c r="Q12" s="61">
        <v>0.51666666666666672</v>
      </c>
      <c r="R12" s="61">
        <v>0.5395833333333333</v>
      </c>
      <c r="S12" s="61">
        <v>0.56111111111111112</v>
      </c>
      <c r="T12" s="61">
        <v>0.58124999999999993</v>
      </c>
      <c r="U12" s="61">
        <v>0.60416666666666663</v>
      </c>
    </row>
    <row r="13" spans="2:39" x14ac:dyDescent="0.3">
      <c r="B13" s="60" t="s">
        <v>688</v>
      </c>
      <c r="C13" s="61">
        <v>0.27638888888888885</v>
      </c>
      <c r="D13" s="103">
        <v>0.28888888888888892</v>
      </c>
      <c r="E13" s="103">
        <v>0.30555555555555552</v>
      </c>
      <c r="F13" s="61">
        <v>0.32083333333333336</v>
      </c>
      <c r="G13" s="103">
        <v>0.33333333333333331</v>
      </c>
      <c r="H13" s="61">
        <v>0.34722222222222227</v>
      </c>
      <c r="I13" s="103">
        <v>0.3611111111111111</v>
      </c>
      <c r="J13" s="61">
        <v>0.3743055555555555</v>
      </c>
      <c r="K13" s="61">
        <v>0.38750000000000001</v>
      </c>
      <c r="L13" s="61">
        <v>0.40138888888888885</v>
      </c>
      <c r="M13" s="61">
        <v>0.41805555555555557</v>
      </c>
      <c r="N13" s="61">
        <v>0.43472222222222223</v>
      </c>
      <c r="O13" s="61">
        <v>0.46249999999999997</v>
      </c>
      <c r="P13" s="61">
        <v>0.48958333333333331</v>
      </c>
      <c r="Q13" s="61">
        <v>0.5180555555555556</v>
      </c>
      <c r="R13" s="61">
        <v>0.54097222222222219</v>
      </c>
      <c r="S13" s="61">
        <v>0.5625</v>
      </c>
      <c r="T13" s="61">
        <v>0.58263888888888882</v>
      </c>
      <c r="U13" s="61">
        <v>0.60555555555555551</v>
      </c>
    </row>
    <row r="14" spans="2:39" x14ac:dyDescent="0.3">
      <c r="B14" s="60" t="s">
        <v>679</v>
      </c>
      <c r="C14" s="60" t="s">
        <v>539</v>
      </c>
      <c r="D14" s="60" t="s">
        <v>540</v>
      </c>
      <c r="E14" s="60" t="s">
        <v>540</v>
      </c>
      <c r="F14" s="103">
        <v>0.30694444444444441</v>
      </c>
      <c r="G14" s="60" t="s">
        <v>540</v>
      </c>
      <c r="H14" s="60" t="s">
        <v>540</v>
      </c>
      <c r="I14" s="61">
        <v>0.34861111111111115</v>
      </c>
      <c r="J14" s="60" t="s">
        <v>540</v>
      </c>
      <c r="K14" s="60" t="s">
        <v>540</v>
      </c>
      <c r="L14" s="61">
        <v>0.3888888888888889</v>
      </c>
      <c r="M14" s="60" t="s">
        <v>540</v>
      </c>
      <c r="N14" s="60" t="s">
        <v>540</v>
      </c>
      <c r="O14" s="61">
        <v>0.43611111111111112</v>
      </c>
      <c r="P14" s="60" t="s">
        <v>540</v>
      </c>
      <c r="Q14" s="61">
        <v>0.4909722222222222</v>
      </c>
      <c r="R14" s="60" t="s">
        <v>540</v>
      </c>
      <c r="S14" s="61">
        <v>0.54236111111111118</v>
      </c>
      <c r="T14" s="60" t="s">
        <v>540</v>
      </c>
      <c r="U14" s="61">
        <v>0.58402777777777781</v>
      </c>
      <c r="V14" s="60" t="s">
        <v>540</v>
      </c>
    </row>
    <row r="15" spans="2:39" x14ac:dyDescent="0.3">
      <c r="B15" s="60" t="s">
        <v>685</v>
      </c>
      <c r="C15" s="61">
        <v>0.27916666666666667</v>
      </c>
      <c r="D15" s="103">
        <v>0.29166666666666669</v>
      </c>
      <c r="E15" s="103">
        <v>0.30902777777777779</v>
      </c>
      <c r="F15" s="61">
        <v>0.32361111111111113</v>
      </c>
      <c r="G15" s="103">
        <v>0.33611111111111108</v>
      </c>
      <c r="H15" s="61">
        <v>0.35069444444444442</v>
      </c>
      <c r="I15" s="103">
        <v>0.36388888888888887</v>
      </c>
      <c r="J15" s="61">
        <v>0.37708333333333338</v>
      </c>
      <c r="K15" s="61">
        <v>0.39097222222222222</v>
      </c>
      <c r="L15" s="61">
        <v>0.40416666666666662</v>
      </c>
      <c r="M15" s="61">
        <v>0.42083333333333334</v>
      </c>
      <c r="N15" s="61">
        <v>0.4381944444444445</v>
      </c>
      <c r="O15" s="61">
        <v>0.46527777777777773</v>
      </c>
      <c r="P15" s="61">
        <v>0.49305555555555558</v>
      </c>
      <c r="Q15" s="61">
        <v>0.52083333333333337</v>
      </c>
      <c r="R15" s="61">
        <v>0.5444444444444444</v>
      </c>
      <c r="S15" s="61">
        <v>0.56527777777777777</v>
      </c>
      <c r="T15" s="61">
        <v>0.58611111111111114</v>
      </c>
      <c r="U15" s="61">
        <v>0.60833333333333328</v>
      </c>
    </row>
    <row r="16" spans="2:39" x14ac:dyDescent="0.3">
      <c r="B16" s="60" t="s">
        <v>689</v>
      </c>
      <c r="C16" s="61">
        <v>0.28194444444444444</v>
      </c>
      <c r="D16" s="103">
        <v>0.29444444444444445</v>
      </c>
      <c r="E16" s="103">
        <v>0.31111111111111112</v>
      </c>
      <c r="F16" s="61">
        <v>0.3263888888888889</v>
      </c>
      <c r="G16" s="103">
        <v>0.33888888888888885</v>
      </c>
      <c r="H16" s="61">
        <v>0.3527777777777778</v>
      </c>
      <c r="I16" s="103">
        <v>0.3666666666666667</v>
      </c>
      <c r="J16" s="61">
        <v>0.37986111111111115</v>
      </c>
      <c r="K16" s="61">
        <v>0.39305555555555555</v>
      </c>
      <c r="L16" s="61">
        <v>0.4069444444444445</v>
      </c>
      <c r="M16" s="61">
        <v>0.4236111111111111</v>
      </c>
      <c r="N16" s="61">
        <v>0.44027777777777777</v>
      </c>
      <c r="O16" s="61">
        <v>0.4680555555555555</v>
      </c>
      <c r="P16" s="61">
        <v>0.49513888888888885</v>
      </c>
      <c r="Q16" s="61">
        <v>0.52361111111111114</v>
      </c>
      <c r="R16" s="61">
        <v>0.54652777777777783</v>
      </c>
      <c r="S16" s="61">
        <v>0.56805555555555554</v>
      </c>
      <c r="T16" s="61">
        <v>0.58819444444444446</v>
      </c>
      <c r="U16" s="61">
        <v>0.61111111111111105</v>
      </c>
    </row>
    <row r="17" spans="2:34" x14ac:dyDescent="0.3">
      <c r="B17" s="60" t="s">
        <v>666</v>
      </c>
      <c r="C17" s="61">
        <v>0.28611111111111115</v>
      </c>
      <c r="D17" s="103">
        <v>0.29722222222222222</v>
      </c>
      <c r="E17" s="103">
        <v>0.31458333333333333</v>
      </c>
      <c r="F17" s="61">
        <v>0.33055555555555555</v>
      </c>
      <c r="G17" s="103">
        <v>0.34166666666666662</v>
      </c>
      <c r="H17" s="61">
        <v>0.35694444444444445</v>
      </c>
      <c r="I17" s="103">
        <v>0.36944444444444446</v>
      </c>
      <c r="J17" s="61">
        <v>0.3840277777777778</v>
      </c>
      <c r="K17" s="61">
        <v>0.39652777777777781</v>
      </c>
      <c r="L17" s="61">
        <v>0.41111111111111115</v>
      </c>
      <c r="M17" s="61">
        <v>0.42777777777777781</v>
      </c>
      <c r="N17" s="61">
        <v>0.44444444444444442</v>
      </c>
      <c r="O17" s="61">
        <v>0.47222222222222227</v>
      </c>
      <c r="P17" s="61">
        <v>0.4993055555555555</v>
      </c>
      <c r="Q17" s="61">
        <v>0.52708333333333335</v>
      </c>
      <c r="R17" s="61">
        <v>0.54999999999999993</v>
      </c>
      <c r="S17" s="61">
        <v>0.57152777777777775</v>
      </c>
      <c r="T17" s="61">
        <v>0.59166666666666667</v>
      </c>
      <c r="U17" s="61">
        <v>0.61458333333333337</v>
      </c>
    </row>
    <row r="18" spans="2:34" x14ac:dyDescent="0.3">
      <c r="B18" s="60" t="s">
        <v>677</v>
      </c>
      <c r="C18" s="61">
        <v>0.28888888888888892</v>
      </c>
      <c r="D18" s="61">
        <v>0.33333333333333331</v>
      </c>
      <c r="E18" s="103">
        <v>0.38680555555555557</v>
      </c>
      <c r="F18" s="61">
        <v>0.41388888888888892</v>
      </c>
      <c r="G18" s="61">
        <v>0.43055555555555558</v>
      </c>
      <c r="H18" s="61">
        <v>0.47500000000000003</v>
      </c>
      <c r="I18" s="61">
        <v>0.52986111111111112</v>
      </c>
      <c r="J18" s="61">
        <v>0.57430555555555551</v>
      </c>
      <c r="K18" s="61">
        <v>0.61736111111111114</v>
      </c>
    </row>
    <row r="19" spans="2:34" x14ac:dyDescent="0.3">
      <c r="B19" s="60" t="s">
        <v>669</v>
      </c>
      <c r="C19" s="61">
        <v>0.29305555555555557</v>
      </c>
      <c r="D19" s="61">
        <v>0.33749999999999997</v>
      </c>
      <c r="E19" s="61">
        <v>0.39027777777777778</v>
      </c>
      <c r="F19" s="61">
        <v>0.41736111111111113</v>
      </c>
      <c r="G19" s="61">
        <v>0.43402777777777773</v>
      </c>
      <c r="H19" s="61">
        <v>0.47916666666666669</v>
      </c>
      <c r="I19" s="61">
        <v>0.53402777777777777</v>
      </c>
      <c r="J19" s="61">
        <v>0.57847222222222217</v>
      </c>
      <c r="K19" s="61">
        <v>0.62152777777777779</v>
      </c>
    </row>
    <row r="20" spans="2:34" x14ac:dyDescent="0.3">
      <c r="B20" s="60" t="s">
        <v>671</v>
      </c>
      <c r="C20" s="60" t="s">
        <v>695</v>
      </c>
      <c r="D20" s="60" t="s">
        <v>695</v>
      </c>
      <c r="E20" s="60" t="s">
        <v>695</v>
      </c>
      <c r="F20" s="61">
        <v>0.42083333333333334</v>
      </c>
      <c r="G20" s="60" t="s">
        <v>695</v>
      </c>
      <c r="H20" s="60" t="s">
        <v>695</v>
      </c>
      <c r="I20" s="60" t="s">
        <v>695</v>
      </c>
      <c r="J20" s="60" t="s">
        <v>695</v>
      </c>
      <c r="K20" s="60" t="s">
        <v>695</v>
      </c>
    </row>
    <row r="21" spans="2:34" x14ac:dyDescent="0.3">
      <c r="B21" s="60" t="s">
        <v>670</v>
      </c>
      <c r="C21" s="61">
        <v>0.2951388888888889</v>
      </c>
      <c r="D21" s="61">
        <v>0.33958333333333335</v>
      </c>
      <c r="E21" s="61">
        <v>0.3923611111111111</v>
      </c>
      <c r="F21" s="61">
        <v>0.43611111111111112</v>
      </c>
      <c r="G21" s="61">
        <v>0.48125000000000001</v>
      </c>
      <c r="H21" s="61">
        <v>0.53611111111111109</v>
      </c>
      <c r="I21" s="61">
        <v>0.5805555555555556</v>
      </c>
      <c r="J21" s="61">
        <v>0.62361111111111112</v>
      </c>
    </row>
    <row r="22" spans="2:34" x14ac:dyDescent="0.3">
      <c r="B22" s="60" t="s">
        <v>681</v>
      </c>
      <c r="C22" s="60" t="s">
        <v>539</v>
      </c>
      <c r="D22" s="61">
        <v>0.29722222222222222</v>
      </c>
      <c r="E22" s="61">
        <v>0.34166666666666662</v>
      </c>
      <c r="F22" s="61">
        <v>0.39444444444444443</v>
      </c>
      <c r="G22" s="61">
        <v>0.4381944444444445</v>
      </c>
      <c r="H22" s="61">
        <v>0.48333333333333334</v>
      </c>
      <c r="I22" s="61">
        <v>0.53819444444444442</v>
      </c>
      <c r="J22" s="61">
        <v>0.58263888888888882</v>
      </c>
      <c r="K22" s="61">
        <v>0.62569444444444444</v>
      </c>
    </row>
    <row r="23" spans="2:34" x14ac:dyDescent="0.3">
      <c r="B23" s="60" t="s">
        <v>675</v>
      </c>
      <c r="C23" s="60" t="s">
        <v>539</v>
      </c>
      <c r="D23" s="61">
        <v>0.2986111111111111</v>
      </c>
      <c r="E23" s="61">
        <v>0.3430555555555555</v>
      </c>
      <c r="F23" s="61">
        <v>0.39583333333333331</v>
      </c>
      <c r="G23" s="61">
        <v>0.43958333333333338</v>
      </c>
      <c r="H23" s="61">
        <v>0.48472222222222222</v>
      </c>
      <c r="I23" s="61">
        <v>0.5395833333333333</v>
      </c>
      <c r="J23" s="61">
        <v>0.58402777777777781</v>
      </c>
      <c r="K23" s="61">
        <v>0.62708333333333333</v>
      </c>
    </row>
    <row r="24" spans="2:34" x14ac:dyDescent="0.3">
      <c r="B24" s="60" t="s">
        <v>680</v>
      </c>
      <c r="C24" s="61">
        <v>0.30208333333333331</v>
      </c>
      <c r="D24" s="61">
        <v>0.34652777777777777</v>
      </c>
      <c r="E24" s="61">
        <v>0.39930555555555558</v>
      </c>
      <c r="F24" s="61">
        <v>0.44305555555555554</v>
      </c>
      <c r="G24" s="61">
        <v>0.48749999999999999</v>
      </c>
      <c r="H24" s="61">
        <v>0.54305555555555551</v>
      </c>
      <c r="I24" s="61">
        <v>0.58750000000000002</v>
      </c>
      <c r="J24" s="61">
        <v>0.63055555555555554</v>
      </c>
    </row>
    <row r="25" spans="2:34" x14ac:dyDescent="0.3">
      <c r="B25" s="60" t="s">
        <v>672</v>
      </c>
      <c r="C25" s="60" t="s">
        <v>539</v>
      </c>
      <c r="D25" s="103">
        <v>0.31736111111111115</v>
      </c>
      <c r="E25" s="61">
        <v>0.35972222222222222</v>
      </c>
      <c r="F25" s="61">
        <v>0.39930555555555558</v>
      </c>
      <c r="G25" s="61">
        <v>0.44722222222222219</v>
      </c>
      <c r="H25" s="61">
        <v>0.50208333333333333</v>
      </c>
      <c r="I25" s="61">
        <v>0.55277777777777781</v>
      </c>
      <c r="J25" s="61">
        <v>0.59444444444444444</v>
      </c>
    </row>
    <row r="26" spans="2:34" x14ac:dyDescent="0.3">
      <c r="B26" s="60" t="s">
        <v>690</v>
      </c>
      <c r="C26" s="103">
        <v>0.3215277777777778</v>
      </c>
      <c r="D26" s="61">
        <v>0.36388888888888887</v>
      </c>
      <c r="E26" s="61">
        <v>0.40416666666666662</v>
      </c>
      <c r="F26" s="61">
        <v>0.4513888888888889</v>
      </c>
      <c r="G26" s="61">
        <v>0.50624999999999998</v>
      </c>
      <c r="H26" s="61">
        <v>0.55763888888888891</v>
      </c>
      <c r="I26" s="61">
        <v>0.59930555555555554</v>
      </c>
    </row>
    <row r="27" spans="2:34" x14ac:dyDescent="0.3">
      <c r="B27" s="60" t="s">
        <v>667</v>
      </c>
      <c r="C27" s="103">
        <v>0.32361111111111113</v>
      </c>
      <c r="D27" s="61">
        <v>0.3659722222222222</v>
      </c>
      <c r="E27" s="61">
        <v>0.40625</v>
      </c>
      <c r="F27" s="61">
        <v>0.45347222222222222</v>
      </c>
      <c r="G27" s="61">
        <v>0.5083333333333333</v>
      </c>
      <c r="H27" s="61">
        <v>0.55972222222222223</v>
      </c>
      <c r="I27" s="61">
        <v>0.60138888888888886</v>
      </c>
    </row>
    <row r="28" spans="2:34" x14ac:dyDescent="0.3">
      <c r="B28" s="60" t="s">
        <v>674</v>
      </c>
      <c r="C28" s="103">
        <v>0.32500000000000001</v>
      </c>
      <c r="D28" s="61">
        <v>0.36736111111111108</v>
      </c>
      <c r="E28" s="61">
        <v>0.40763888888888888</v>
      </c>
      <c r="F28" s="61">
        <v>0.4548611111111111</v>
      </c>
      <c r="G28" s="61">
        <v>0.50972222222222219</v>
      </c>
      <c r="H28" s="61">
        <v>0.56111111111111112</v>
      </c>
      <c r="I28" s="61">
        <v>0.60277777777777775</v>
      </c>
    </row>
    <row r="29" spans="2:34" x14ac:dyDescent="0.3">
      <c r="B29" s="60" t="s">
        <v>664</v>
      </c>
      <c r="C29" s="60" t="s">
        <v>539</v>
      </c>
      <c r="D29" s="103">
        <v>0.32777777777777778</v>
      </c>
      <c r="E29" s="60" t="s">
        <v>540</v>
      </c>
      <c r="F29" s="61">
        <v>0.41041666666666665</v>
      </c>
      <c r="G29" s="60" t="s">
        <v>540</v>
      </c>
      <c r="H29" s="60" t="s">
        <v>540</v>
      </c>
      <c r="I29" s="61">
        <v>0.56388888888888888</v>
      </c>
      <c r="J29" s="60" t="s">
        <v>540</v>
      </c>
    </row>
    <row r="30" spans="2:34" x14ac:dyDescent="0.3">
      <c r="B30" s="60" t="s">
        <v>684</v>
      </c>
      <c r="C30" s="103">
        <v>0.33055555555555555</v>
      </c>
      <c r="D30" s="61">
        <v>0.37291666666666662</v>
      </c>
      <c r="E30" s="61">
        <v>0.41388888888888892</v>
      </c>
      <c r="F30" s="61">
        <v>0.4604166666666667</v>
      </c>
      <c r="G30" s="61">
        <v>0.51527777777777783</v>
      </c>
      <c r="H30" s="61">
        <v>0.56736111111111109</v>
      </c>
      <c r="I30" s="61">
        <v>0.60833333333333328</v>
      </c>
    </row>
    <row r="31" spans="2:34" x14ac:dyDescent="0.3">
      <c r="B31" s="60" t="s">
        <v>687</v>
      </c>
      <c r="C31" s="61">
        <v>0.37638888888888888</v>
      </c>
      <c r="D31" s="61">
        <v>0.41736111111111113</v>
      </c>
      <c r="E31" s="61">
        <v>0.46388888888888885</v>
      </c>
      <c r="F31" s="61">
        <v>0.51874999999999993</v>
      </c>
      <c r="G31" s="61">
        <v>0.5708333333333333</v>
      </c>
      <c r="H31" s="61">
        <v>0.6118055555555556</v>
      </c>
    </row>
    <row r="32" spans="2:34" x14ac:dyDescent="0.3">
      <c r="B32" s="60" t="s">
        <v>581</v>
      </c>
      <c r="C32" s="60" t="s">
        <v>582</v>
      </c>
      <c r="D32" s="60">
        <v>549</v>
      </c>
      <c r="E32" s="60">
        <v>551</v>
      </c>
      <c r="F32" s="60">
        <v>553</v>
      </c>
      <c r="G32" s="60">
        <v>555</v>
      </c>
      <c r="H32" s="60">
        <v>557</v>
      </c>
      <c r="I32" s="60">
        <v>559</v>
      </c>
      <c r="J32" s="60">
        <v>561</v>
      </c>
      <c r="K32" s="60" t="s">
        <v>583</v>
      </c>
      <c r="L32" s="60">
        <v>561</v>
      </c>
      <c r="M32" s="60" t="s">
        <v>552</v>
      </c>
      <c r="N32" s="60">
        <v>563</v>
      </c>
      <c r="O32" s="60">
        <v>565</v>
      </c>
      <c r="P32" s="60">
        <v>567</v>
      </c>
      <c r="Q32" s="60">
        <v>569</v>
      </c>
      <c r="R32" s="60">
        <v>571</v>
      </c>
      <c r="S32" s="60" t="s">
        <v>583</v>
      </c>
      <c r="T32" s="60">
        <v>573</v>
      </c>
      <c r="U32" s="60">
        <v>575</v>
      </c>
      <c r="V32" s="60" t="s">
        <v>583</v>
      </c>
      <c r="W32" s="60">
        <v>577</v>
      </c>
      <c r="X32" s="60">
        <v>579</v>
      </c>
      <c r="Y32" s="60">
        <v>581</v>
      </c>
      <c r="Z32" s="60">
        <v>721</v>
      </c>
      <c r="AA32" s="60">
        <v>583</v>
      </c>
      <c r="AB32" s="60">
        <v>585</v>
      </c>
      <c r="AC32" s="60">
        <v>587</v>
      </c>
      <c r="AD32" s="60">
        <v>589</v>
      </c>
      <c r="AE32" s="60">
        <v>723</v>
      </c>
      <c r="AF32" s="60">
        <v>727</v>
      </c>
      <c r="AG32" s="60">
        <v>591</v>
      </c>
      <c r="AH32" s="60">
        <v>593</v>
      </c>
    </row>
    <row r="33" spans="2:29" x14ac:dyDescent="0.3">
      <c r="B33" s="60" t="s">
        <v>580</v>
      </c>
      <c r="C33" s="61">
        <v>0.60416666666666663</v>
      </c>
      <c r="D33" s="61">
        <v>0.61944444444444446</v>
      </c>
      <c r="E33" s="61">
        <v>0.63402777777777775</v>
      </c>
      <c r="F33" s="61">
        <v>0.64861111111111114</v>
      </c>
      <c r="G33" s="61">
        <v>0.66249999999999998</v>
      </c>
      <c r="H33" s="61">
        <v>0.67638888888888893</v>
      </c>
      <c r="I33" s="103">
        <v>0.69027777777777777</v>
      </c>
      <c r="J33" s="104">
        <v>0.69027777777777777</v>
      </c>
      <c r="K33" s="61">
        <v>0.70347222222222217</v>
      </c>
      <c r="L33" s="61">
        <v>0.71666666666666667</v>
      </c>
      <c r="M33" s="61">
        <v>0.72916666666666663</v>
      </c>
      <c r="N33" s="61">
        <v>0.74305555555555547</v>
      </c>
      <c r="O33" s="103">
        <v>0.75624999999999998</v>
      </c>
      <c r="P33" s="61">
        <v>0.76944444444444438</v>
      </c>
      <c r="Q33" s="103">
        <v>0.78333333333333333</v>
      </c>
      <c r="R33" s="61">
        <v>0.79722222222222217</v>
      </c>
      <c r="S33" s="61">
        <v>0.81805555555555554</v>
      </c>
      <c r="T33" s="61">
        <v>0.83888888888888891</v>
      </c>
      <c r="U33" s="61">
        <v>0.85069444444444453</v>
      </c>
      <c r="V33" s="61">
        <v>0.86249999999999993</v>
      </c>
      <c r="W33" s="61">
        <v>0.88680555555555562</v>
      </c>
      <c r="X33" s="61">
        <v>0.90972222222222221</v>
      </c>
      <c r="Y33" s="61">
        <v>0.93402777777777779</v>
      </c>
      <c r="Z33" s="61">
        <v>0.94791666666666663</v>
      </c>
      <c r="AA33" s="61">
        <v>0.96180555555555547</v>
      </c>
      <c r="AB33" s="61">
        <v>0.97569444444444453</v>
      </c>
      <c r="AC33" s="61">
        <v>0.98958333333333337</v>
      </c>
    </row>
    <row r="34" spans="2:29" x14ac:dyDescent="0.3">
      <c r="B34" s="60" t="s">
        <v>676</v>
      </c>
      <c r="C34" s="61">
        <v>0.60625000000000007</v>
      </c>
      <c r="D34" s="61">
        <v>0.62152777777777779</v>
      </c>
      <c r="E34" s="61">
        <v>0.63611111111111118</v>
      </c>
      <c r="F34" s="61">
        <v>0.65069444444444446</v>
      </c>
      <c r="G34" s="61">
        <v>0.6645833333333333</v>
      </c>
      <c r="H34" s="61">
        <v>0.67847222222222225</v>
      </c>
      <c r="I34" s="103">
        <v>0.69236111111111109</v>
      </c>
      <c r="J34" s="104">
        <v>0.69236111111111109</v>
      </c>
      <c r="K34" s="61">
        <v>0.7055555555555556</v>
      </c>
      <c r="L34" s="61">
        <v>0.71875</v>
      </c>
      <c r="M34" s="61">
        <v>0.73125000000000007</v>
      </c>
      <c r="N34" s="61">
        <v>0.74513888888888891</v>
      </c>
      <c r="O34" s="103">
        <v>0.7583333333333333</v>
      </c>
      <c r="P34" s="61">
        <v>0.7715277777777777</v>
      </c>
      <c r="Q34" s="103">
        <v>0.78541666666666676</v>
      </c>
      <c r="R34" s="61">
        <v>0.7993055555555556</v>
      </c>
      <c r="S34" s="61">
        <v>0.82013888888888886</v>
      </c>
      <c r="T34" s="61">
        <v>0.84097222222222223</v>
      </c>
      <c r="U34" s="61">
        <v>0.85277777777777775</v>
      </c>
      <c r="V34" s="61">
        <v>0.86458333333333337</v>
      </c>
      <c r="W34" s="61">
        <v>0.88888888888888884</v>
      </c>
      <c r="X34" s="61">
        <v>0.91180555555555554</v>
      </c>
      <c r="Y34" s="61">
        <v>0.93611111111111101</v>
      </c>
      <c r="Z34" s="61">
        <v>0.95000000000000007</v>
      </c>
      <c r="AA34" s="61">
        <v>0.96388888888888891</v>
      </c>
      <c r="AB34" s="61">
        <v>0.97777777777777775</v>
      </c>
      <c r="AC34" s="61">
        <v>0.9916666666666667</v>
      </c>
    </row>
    <row r="35" spans="2:29" x14ac:dyDescent="0.3">
      <c r="B35" s="60" t="s">
        <v>686</v>
      </c>
      <c r="C35" s="61">
        <v>0.60833333333333328</v>
      </c>
      <c r="D35" s="61">
        <v>0.62361111111111112</v>
      </c>
      <c r="E35" s="61">
        <v>0.6381944444444444</v>
      </c>
      <c r="F35" s="61">
        <v>0.65277777777777779</v>
      </c>
      <c r="G35" s="61">
        <v>0.66666666666666663</v>
      </c>
      <c r="H35" s="61">
        <v>0.68055555555555547</v>
      </c>
      <c r="I35" s="103">
        <v>0.69444444444444453</v>
      </c>
      <c r="J35" s="104">
        <v>0.69444444444444453</v>
      </c>
      <c r="K35" s="61">
        <v>0.70763888888888893</v>
      </c>
      <c r="L35" s="61">
        <v>0.72083333333333333</v>
      </c>
      <c r="M35" s="61">
        <v>0.73333333333333339</v>
      </c>
      <c r="N35" s="61">
        <v>0.74722222222222223</v>
      </c>
      <c r="O35" s="103">
        <v>0.76041666666666663</v>
      </c>
      <c r="P35" s="61">
        <v>0.77361111111111114</v>
      </c>
      <c r="Q35" s="103">
        <v>0.78749999999999998</v>
      </c>
      <c r="R35" s="61">
        <v>0.80138888888888893</v>
      </c>
      <c r="S35" s="61">
        <v>0.8222222222222223</v>
      </c>
      <c r="T35" s="61">
        <v>0.84305555555555556</v>
      </c>
      <c r="U35" s="61">
        <v>0.85486111111111107</v>
      </c>
      <c r="V35" s="61">
        <v>0.8666666666666667</v>
      </c>
      <c r="W35" s="61">
        <v>0.89097222222222217</v>
      </c>
      <c r="X35" s="61">
        <v>0.91388888888888886</v>
      </c>
      <c r="Y35" s="61">
        <v>0.93819444444444444</v>
      </c>
      <c r="Z35" s="61">
        <v>0.95208333333333339</v>
      </c>
      <c r="AA35" s="61">
        <v>0.96597222222222223</v>
      </c>
      <c r="AB35" s="61">
        <v>0.97986111111111107</v>
      </c>
      <c r="AC35" s="61">
        <v>0.99375000000000002</v>
      </c>
    </row>
    <row r="36" spans="2:29" x14ac:dyDescent="0.3">
      <c r="B36" s="60" t="s">
        <v>665</v>
      </c>
      <c r="C36" s="61">
        <v>0.60972222222222217</v>
      </c>
      <c r="D36" s="61">
        <v>0.625</v>
      </c>
      <c r="E36" s="61">
        <v>0.63958333333333328</v>
      </c>
      <c r="F36" s="61">
        <v>0.65416666666666667</v>
      </c>
      <c r="G36" s="61">
        <v>0.66805555555555562</v>
      </c>
      <c r="H36" s="61">
        <v>0.68194444444444446</v>
      </c>
      <c r="I36" s="103">
        <v>0.6958333333333333</v>
      </c>
      <c r="J36" s="104">
        <v>0.6958333333333333</v>
      </c>
      <c r="K36" s="61">
        <v>0.7090277777777777</v>
      </c>
      <c r="L36" s="61">
        <v>0.72222222222222221</v>
      </c>
      <c r="M36" s="61">
        <v>0.73472222222222217</v>
      </c>
      <c r="N36" s="61">
        <v>0.74861111111111101</v>
      </c>
      <c r="O36" s="103">
        <v>0.76180555555555562</v>
      </c>
      <c r="P36" s="61">
        <v>0.77500000000000002</v>
      </c>
      <c r="Q36" s="103">
        <v>0.78888888888888886</v>
      </c>
      <c r="R36" s="61">
        <v>0.8027777777777777</v>
      </c>
      <c r="S36" s="61">
        <v>0.82361111111111107</v>
      </c>
      <c r="T36" s="61">
        <v>0.84444444444444444</v>
      </c>
      <c r="U36" s="61">
        <v>0.85625000000000007</v>
      </c>
      <c r="V36" s="61">
        <v>0.86805555555555547</v>
      </c>
      <c r="W36" s="61">
        <v>0.89236111111111116</v>
      </c>
      <c r="X36" s="61">
        <v>0.91527777777777775</v>
      </c>
      <c r="Y36" s="61">
        <v>0.93958333333333333</v>
      </c>
      <c r="Z36" s="61">
        <v>0.95347222222222217</v>
      </c>
      <c r="AA36" s="61">
        <v>0.96736111111111101</v>
      </c>
      <c r="AB36" s="61">
        <v>0.98125000000000007</v>
      </c>
      <c r="AC36" s="61">
        <v>0.99513888888888891</v>
      </c>
    </row>
    <row r="37" spans="2:29" x14ac:dyDescent="0.3">
      <c r="B37" s="60" t="s">
        <v>683</v>
      </c>
      <c r="C37" s="61">
        <v>0.61111111111111105</v>
      </c>
      <c r="D37" s="61">
        <v>0.62638888888888888</v>
      </c>
      <c r="E37" s="61">
        <v>0.64097222222222217</v>
      </c>
      <c r="F37" s="61">
        <v>0.65555555555555556</v>
      </c>
      <c r="G37" s="61">
        <v>0.6694444444444444</v>
      </c>
      <c r="H37" s="61">
        <v>0.68333333333333324</v>
      </c>
      <c r="I37" s="103">
        <v>0.6972222222222223</v>
      </c>
      <c r="J37" s="104">
        <v>0.6972222222222223</v>
      </c>
      <c r="K37" s="61">
        <v>0.7104166666666667</v>
      </c>
      <c r="L37" s="61">
        <v>0.72361111111111109</v>
      </c>
      <c r="M37" s="61">
        <v>0.73611111111111116</v>
      </c>
      <c r="N37" s="61">
        <v>0.75</v>
      </c>
      <c r="O37" s="103">
        <v>0.7631944444444444</v>
      </c>
      <c r="P37" s="61">
        <v>0.77638888888888891</v>
      </c>
      <c r="Q37" s="103">
        <v>0.79027777777777775</v>
      </c>
      <c r="R37" s="61">
        <v>0.8041666666666667</v>
      </c>
      <c r="S37" s="61">
        <v>0.82500000000000007</v>
      </c>
      <c r="T37" s="61">
        <v>0.84583333333333333</v>
      </c>
      <c r="U37" s="61">
        <v>0.85763888888888884</v>
      </c>
      <c r="V37" s="61">
        <v>0.86944444444444446</v>
      </c>
      <c r="W37" s="61">
        <v>0.89374999999999993</v>
      </c>
      <c r="X37" s="61">
        <v>0.91666666666666663</v>
      </c>
      <c r="Y37" s="61">
        <v>0.94097222222222221</v>
      </c>
      <c r="Z37" s="61">
        <v>0.95486111111111116</v>
      </c>
      <c r="AA37" s="61">
        <v>0.96875</v>
      </c>
      <c r="AB37" s="61">
        <v>0.98263888888888884</v>
      </c>
      <c r="AC37" s="61">
        <v>0.99652777777777779</v>
      </c>
    </row>
    <row r="38" spans="2:29" x14ac:dyDescent="0.3">
      <c r="B38" s="60" t="s">
        <v>678</v>
      </c>
      <c r="C38" s="61">
        <v>0.61249999999999993</v>
      </c>
      <c r="D38" s="61">
        <v>0.62777777777777777</v>
      </c>
      <c r="E38" s="61">
        <v>0.64236111111111105</v>
      </c>
      <c r="F38" s="61">
        <v>0.65694444444444444</v>
      </c>
      <c r="G38" s="61">
        <v>0.67083333333333339</v>
      </c>
      <c r="H38" s="61">
        <v>0.68472222222222223</v>
      </c>
      <c r="I38" s="103">
        <v>0.69861111111111107</v>
      </c>
      <c r="J38" s="104">
        <v>0.69861111111111107</v>
      </c>
      <c r="K38" s="61">
        <v>0.71180555555555547</v>
      </c>
      <c r="L38" s="61">
        <v>0.72499999999999998</v>
      </c>
      <c r="M38" s="61">
        <v>0.73749999999999993</v>
      </c>
      <c r="N38" s="61">
        <v>0.75138888888888899</v>
      </c>
      <c r="O38" s="103">
        <v>0.76458333333333339</v>
      </c>
      <c r="P38" s="61">
        <v>0.77777777777777779</v>
      </c>
      <c r="Q38" s="103">
        <v>0.79166666666666663</v>
      </c>
      <c r="R38" s="61">
        <v>0.80555555555555547</v>
      </c>
      <c r="S38" s="61">
        <v>0.82638888888888884</v>
      </c>
      <c r="T38" s="61">
        <v>0.84722222222222221</v>
      </c>
      <c r="U38" s="61">
        <v>0.85902777777777783</v>
      </c>
      <c r="V38" s="61">
        <v>0.87083333333333324</v>
      </c>
      <c r="W38" s="61">
        <v>0.89513888888888893</v>
      </c>
      <c r="X38" s="61">
        <v>0.91805555555555562</v>
      </c>
      <c r="Y38" s="61">
        <v>0.94236111111111109</v>
      </c>
      <c r="Z38" s="61">
        <v>0.95624999999999993</v>
      </c>
      <c r="AA38" s="61">
        <v>0.97013888888888899</v>
      </c>
      <c r="AB38" s="61">
        <v>0.98402777777777783</v>
      </c>
      <c r="AC38" s="61">
        <v>0.99791666666666667</v>
      </c>
    </row>
    <row r="39" spans="2:29" x14ac:dyDescent="0.3">
      <c r="B39" s="60" t="s">
        <v>663</v>
      </c>
      <c r="C39" s="61">
        <v>0.61388888888888882</v>
      </c>
      <c r="D39" s="61">
        <v>0.62916666666666665</v>
      </c>
      <c r="E39" s="61">
        <v>0.64374999999999993</v>
      </c>
      <c r="F39" s="61">
        <v>0.65833333333333333</v>
      </c>
      <c r="G39" s="61">
        <v>0.67222222222222217</v>
      </c>
      <c r="H39" s="61">
        <v>0.68611111111111101</v>
      </c>
      <c r="I39" s="103">
        <v>0.70000000000000007</v>
      </c>
      <c r="J39" s="104">
        <v>0.70000000000000007</v>
      </c>
      <c r="K39" s="61">
        <v>0.71319444444444446</v>
      </c>
      <c r="L39" s="61">
        <v>0.72638888888888886</v>
      </c>
      <c r="M39" s="61">
        <v>0.73888888888888893</v>
      </c>
      <c r="N39" s="61">
        <v>0.75277777777777777</v>
      </c>
      <c r="O39" s="103">
        <v>0.76597222222222217</v>
      </c>
      <c r="P39" s="61">
        <v>0.77916666666666667</v>
      </c>
      <c r="Q39" s="103">
        <v>0.79305555555555562</v>
      </c>
      <c r="R39" s="61">
        <v>0.80694444444444446</v>
      </c>
      <c r="S39" s="61">
        <v>0.82777777777777783</v>
      </c>
      <c r="T39" s="61">
        <v>0.84861111111111109</v>
      </c>
      <c r="U39" s="61">
        <v>0.86041666666666661</v>
      </c>
      <c r="V39" s="61">
        <v>0.87222222222222223</v>
      </c>
      <c r="W39" s="61">
        <v>0.8965277777777777</v>
      </c>
      <c r="X39" s="61">
        <v>0.9194444444444444</v>
      </c>
      <c r="Y39" s="61">
        <v>0.94374999999999998</v>
      </c>
      <c r="Z39" s="61">
        <v>0.95763888888888893</v>
      </c>
      <c r="AA39" s="61">
        <v>0.97152777777777777</v>
      </c>
      <c r="AB39" s="61">
        <v>0.98541666666666661</v>
      </c>
      <c r="AC39" s="61">
        <v>0.99930555555555556</v>
      </c>
    </row>
    <row r="40" spans="2:29" x14ac:dyDescent="0.3">
      <c r="B40" s="60" t="s">
        <v>668</v>
      </c>
      <c r="C40" s="61">
        <v>0.61527777777777781</v>
      </c>
      <c r="D40" s="61">
        <v>0.63055555555555554</v>
      </c>
      <c r="E40" s="61">
        <v>0.64513888888888882</v>
      </c>
      <c r="F40" s="61">
        <v>0.65972222222222221</v>
      </c>
      <c r="G40" s="61">
        <v>0.67361111111111116</v>
      </c>
      <c r="H40" s="61">
        <v>0.6875</v>
      </c>
      <c r="I40" s="103">
        <v>0.70138888888888884</v>
      </c>
      <c r="J40" s="104">
        <v>0.70138888888888884</v>
      </c>
      <c r="K40" s="61">
        <v>0.71458333333333324</v>
      </c>
      <c r="L40" s="61">
        <v>0.72777777777777775</v>
      </c>
      <c r="M40" s="61">
        <v>0.7402777777777777</v>
      </c>
      <c r="N40" s="61">
        <v>0.75416666666666676</v>
      </c>
      <c r="O40" s="103">
        <v>0.76736111111111116</v>
      </c>
      <c r="P40" s="61">
        <v>0.78055555555555556</v>
      </c>
      <c r="Q40" s="103">
        <v>0.7944444444444444</v>
      </c>
      <c r="R40" s="61">
        <v>0.80833333333333324</v>
      </c>
      <c r="S40" s="61">
        <v>0.82916666666666661</v>
      </c>
      <c r="T40" s="61">
        <v>0.85</v>
      </c>
      <c r="U40" s="61">
        <v>0.8618055555555556</v>
      </c>
      <c r="V40" s="61">
        <v>0.87361111111111101</v>
      </c>
      <c r="W40" s="61">
        <v>0.8979166666666667</v>
      </c>
      <c r="X40" s="61">
        <v>0.92083333333333339</v>
      </c>
      <c r="Y40" s="61">
        <v>0.94513888888888886</v>
      </c>
      <c r="Z40" s="61">
        <v>0.9590277777777777</v>
      </c>
      <c r="AA40" s="61">
        <v>0.97291666666666676</v>
      </c>
      <c r="AB40" s="61">
        <v>0.9868055555555556</v>
      </c>
      <c r="AC40" s="61">
        <v>6.9444444444444447E-4</v>
      </c>
    </row>
    <row r="41" spans="2:29" x14ac:dyDescent="0.3">
      <c r="B41" s="60" t="s">
        <v>682</v>
      </c>
      <c r="C41" s="61">
        <v>0.61736111111111114</v>
      </c>
      <c r="D41" s="61">
        <v>0.63263888888888886</v>
      </c>
      <c r="E41" s="61">
        <v>0.64722222222222225</v>
      </c>
      <c r="F41" s="61">
        <v>0.66180555555555554</v>
      </c>
      <c r="G41" s="61">
        <v>0.67569444444444438</v>
      </c>
      <c r="H41" s="61">
        <v>0.68958333333333333</v>
      </c>
      <c r="I41" s="103">
        <v>0.70347222222222217</v>
      </c>
      <c r="J41" s="104">
        <v>0.70277777777777783</v>
      </c>
      <c r="K41" s="61">
        <v>0.71666666666666667</v>
      </c>
      <c r="L41" s="61">
        <v>0.72986111111111107</v>
      </c>
      <c r="M41" s="61">
        <v>0.74236111111111114</v>
      </c>
      <c r="N41" s="61">
        <v>0.75624999999999998</v>
      </c>
      <c r="O41" s="103">
        <v>0.76944444444444438</v>
      </c>
      <c r="P41" s="61">
        <v>0.78263888888888899</v>
      </c>
      <c r="Q41" s="103">
        <v>0.79652777777777783</v>
      </c>
      <c r="R41" s="61">
        <v>0.81041666666666667</v>
      </c>
      <c r="S41" s="61">
        <v>0.83124999999999993</v>
      </c>
      <c r="T41" s="61">
        <v>0.8520833333333333</v>
      </c>
      <c r="U41" s="61">
        <v>0.86319444444444438</v>
      </c>
      <c r="V41" s="61">
        <v>0.87569444444444444</v>
      </c>
      <c r="W41" s="61">
        <v>0.9</v>
      </c>
      <c r="X41" s="61">
        <v>0.92291666666666661</v>
      </c>
      <c r="Y41" s="61">
        <v>0.9472222222222223</v>
      </c>
      <c r="Z41" s="61">
        <v>0.9604166666666667</v>
      </c>
      <c r="AA41" s="61">
        <v>0.97430555555555554</v>
      </c>
      <c r="AB41" s="61">
        <v>0.98888888888888893</v>
      </c>
      <c r="AC41" s="61">
        <v>2.0833333333333333E-3</v>
      </c>
    </row>
    <row r="42" spans="2:29" x14ac:dyDescent="0.3">
      <c r="B42" s="60" t="s">
        <v>673</v>
      </c>
      <c r="C42" s="61">
        <v>0.61875000000000002</v>
      </c>
      <c r="D42" s="61">
        <v>0.63402777777777775</v>
      </c>
      <c r="E42" s="61">
        <v>0.64861111111111114</v>
      </c>
      <c r="F42" s="61">
        <v>0.66319444444444442</v>
      </c>
      <c r="G42" s="61">
        <v>0.67708333333333337</v>
      </c>
      <c r="H42" s="61">
        <v>0.69097222222222221</v>
      </c>
      <c r="I42" s="103">
        <v>0.70486111111111116</v>
      </c>
      <c r="J42" s="61">
        <v>0.71805555555555556</v>
      </c>
      <c r="K42" s="61">
        <v>0.73125000000000007</v>
      </c>
      <c r="L42" s="61">
        <v>0.74375000000000002</v>
      </c>
      <c r="M42" s="61">
        <v>0.75763888888888886</v>
      </c>
      <c r="N42" s="103">
        <v>0.77083333333333337</v>
      </c>
      <c r="O42" s="61">
        <v>0.78402777777777777</v>
      </c>
      <c r="P42" s="103">
        <v>0.79791666666666661</v>
      </c>
      <c r="Q42" s="61">
        <v>0.81180555555555556</v>
      </c>
      <c r="R42" s="61">
        <v>0.83263888888888893</v>
      </c>
      <c r="S42" s="61">
        <v>0.8534722222222223</v>
      </c>
      <c r="T42" s="61">
        <v>0.87708333333333333</v>
      </c>
      <c r="U42" s="61">
        <v>0.90138888888888891</v>
      </c>
      <c r="V42" s="61">
        <v>0.9243055555555556</v>
      </c>
      <c r="W42" s="61">
        <v>0.94861111111111107</v>
      </c>
      <c r="X42" s="61">
        <v>0.9902777777777777</v>
      </c>
    </row>
    <row r="43" spans="2:29" x14ac:dyDescent="0.3">
      <c r="B43" s="60" t="s">
        <v>688</v>
      </c>
      <c r="C43" s="61">
        <v>0.62013888888888891</v>
      </c>
      <c r="D43" s="61">
        <v>0.63541666666666663</v>
      </c>
      <c r="E43" s="61">
        <v>0.65</v>
      </c>
      <c r="F43" s="61">
        <v>0.6645833333333333</v>
      </c>
      <c r="G43" s="61">
        <v>0.67847222222222225</v>
      </c>
      <c r="H43" s="61">
        <v>0.69236111111111109</v>
      </c>
      <c r="I43" s="103">
        <v>0.70624999999999993</v>
      </c>
      <c r="J43" s="61">
        <v>0.71944444444444444</v>
      </c>
      <c r="K43" s="61">
        <v>0.73263888888888884</v>
      </c>
      <c r="L43" s="61">
        <v>0.74513888888888891</v>
      </c>
      <c r="M43" s="61">
        <v>0.75902777777777775</v>
      </c>
      <c r="N43" s="103">
        <v>0.77222222222222225</v>
      </c>
      <c r="O43" s="61">
        <v>0.78541666666666676</v>
      </c>
      <c r="P43" s="103">
        <v>0.7993055555555556</v>
      </c>
      <c r="Q43" s="61">
        <v>0.81319444444444444</v>
      </c>
      <c r="R43" s="61">
        <v>0.8340277777777777</v>
      </c>
      <c r="S43" s="61">
        <v>0.85486111111111107</v>
      </c>
      <c r="T43" s="61">
        <v>0.87847222222222221</v>
      </c>
      <c r="U43" s="61">
        <v>0.90277777777777779</v>
      </c>
      <c r="V43" s="61">
        <v>0.92569444444444438</v>
      </c>
      <c r="W43" s="61">
        <v>0.95000000000000007</v>
      </c>
      <c r="X43" s="61">
        <v>0.9916666666666667</v>
      </c>
    </row>
    <row r="44" spans="2:29" x14ac:dyDescent="0.3">
      <c r="B44" s="60" t="s">
        <v>679</v>
      </c>
      <c r="C44" s="60" t="s">
        <v>539</v>
      </c>
      <c r="D44" s="60" t="s">
        <v>540</v>
      </c>
      <c r="E44" s="61">
        <v>0.63680555555555551</v>
      </c>
      <c r="F44" s="60" t="s">
        <v>540</v>
      </c>
      <c r="G44" s="60" t="s">
        <v>540</v>
      </c>
      <c r="H44" s="61">
        <v>0.67986111111111114</v>
      </c>
      <c r="I44" s="60" t="s">
        <v>540</v>
      </c>
      <c r="J44" s="60" t="s">
        <v>540</v>
      </c>
      <c r="K44" s="61">
        <v>0.72083333333333333</v>
      </c>
      <c r="L44" s="60" t="s">
        <v>540</v>
      </c>
      <c r="M44" s="60" t="s">
        <v>540</v>
      </c>
      <c r="N44" s="61">
        <v>0.76041666666666663</v>
      </c>
      <c r="O44" s="60" t="s">
        <v>540</v>
      </c>
      <c r="P44" s="60" t="s">
        <v>540</v>
      </c>
      <c r="Q44" s="60" t="s">
        <v>540</v>
      </c>
      <c r="R44" s="61">
        <v>0.81458333333333333</v>
      </c>
      <c r="S44" s="60" t="s">
        <v>540</v>
      </c>
      <c r="T44" s="61">
        <v>0.85625000000000007</v>
      </c>
      <c r="U44" s="60" t="s">
        <v>540</v>
      </c>
      <c r="V44" s="61">
        <v>0.90416666666666667</v>
      </c>
      <c r="W44" s="60" t="s">
        <v>540</v>
      </c>
      <c r="X44" s="60" t="s">
        <v>540</v>
      </c>
      <c r="Y44" s="60" t="s">
        <v>540</v>
      </c>
    </row>
    <row r="45" spans="2:29" x14ac:dyDescent="0.3">
      <c r="B45" s="60" t="s">
        <v>685</v>
      </c>
      <c r="C45" s="61">
        <v>0.62291666666666667</v>
      </c>
      <c r="D45" s="61">
        <v>0.63888888888888895</v>
      </c>
      <c r="E45" s="61">
        <v>0.65277777777777779</v>
      </c>
      <c r="F45" s="61">
        <v>0.66736111111111107</v>
      </c>
      <c r="G45" s="61">
        <v>0.68194444444444446</v>
      </c>
      <c r="H45" s="61">
        <v>0.69513888888888886</v>
      </c>
      <c r="I45" s="103">
        <v>0.7090277777777777</v>
      </c>
      <c r="J45" s="61">
        <v>0.72291666666666676</v>
      </c>
      <c r="K45" s="61">
        <v>0.73541666666666661</v>
      </c>
      <c r="L45" s="61">
        <v>0.74791666666666667</v>
      </c>
      <c r="M45" s="61">
        <v>0.76250000000000007</v>
      </c>
      <c r="N45" s="103">
        <v>0.77500000000000002</v>
      </c>
      <c r="O45" s="61">
        <v>0.78819444444444453</v>
      </c>
      <c r="P45" s="103">
        <v>0.80208333333333337</v>
      </c>
      <c r="Q45" s="61">
        <v>0.81666666666666676</v>
      </c>
      <c r="R45" s="61">
        <v>0.83680555555555547</v>
      </c>
      <c r="S45" s="61">
        <v>0.85833333333333339</v>
      </c>
      <c r="T45" s="61">
        <v>0.88124999999999998</v>
      </c>
      <c r="U45" s="61">
        <v>0.90625</v>
      </c>
      <c r="V45" s="61">
        <v>0.92847222222222225</v>
      </c>
      <c r="W45" s="61">
        <v>0.95277777777777783</v>
      </c>
      <c r="X45" s="61">
        <v>0.99444444444444446</v>
      </c>
    </row>
    <row r="46" spans="2:29" x14ac:dyDescent="0.3">
      <c r="B46" s="60" t="s">
        <v>689</v>
      </c>
      <c r="C46" s="61">
        <v>0.62569444444444444</v>
      </c>
      <c r="D46" s="61">
        <v>0.64097222222222217</v>
      </c>
      <c r="E46" s="61">
        <v>0.65555555555555556</v>
      </c>
      <c r="F46" s="61">
        <v>0.67013888888888884</v>
      </c>
      <c r="G46" s="61">
        <v>0.68402777777777779</v>
      </c>
      <c r="H46" s="61">
        <v>0.69791666666666663</v>
      </c>
      <c r="I46" s="103">
        <v>0.71180555555555547</v>
      </c>
      <c r="J46" s="61">
        <v>0.72499999999999998</v>
      </c>
      <c r="K46" s="61">
        <v>0.73819444444444438</v>
      </c>
      <c r="L46" s="61">
        <v>0.75069444444444444</v>
      </c>
      <c r="M46" s="61">
        <v>0.76458333333333339</v>
      </c>
      <c r="N46" s="103">
        <v>0.77777777777777779</v>
      </c>
      <c r="O46" s="61">
        <v>0.7909722222222223</v>
      </c>
      <c r="P46" s="103">
        <v>0.80486111111111114</v>
      </c>
      <c r="Q46" s="61">
        <v>0.81874999999999998</v>
      </c>
      <c r="R46" s="61">
        <v>0.83958333333333324</v>
      </c>
      <c r="S46" s="61">
        <v>0.86041666666666661</v>
      </c>
      <c r="T46" s="61">
        <v>0.88402777777777775</v>
      </c>
      <c r="U46" s="61">
        <v>0.90833333333333333</v>
      </c>
      <c r="V46" s="61">
        <v>0.93125000000000002</v>
      </c>
      <c r="W46" s="61">
        <v>0.9555555555555556</v>
      </c>
      <c r="X46" s="61">
        <v>0.99722222222222223</v>
      </c>
    </row>
    <row r="47" spans="2:29" x14ac:dyDescent="0.3">
      <c r="B47" s="60" t="s">
        <v>666</v>
      </c>
      <c r="C47" s="61">
        <v>0.62847222222222221</v>
      </c>
      <c r="D47" s="61">
        <v>0.64513888888888882</v>
      </c>
      <c r="E47" s="61">
        <v>0.65902777777777777</v>
      </c>
      <c r="F47" s="61">
        <v>0.6743055555555556</v>
      </c>
      <c r="G47" s="61">
        <v>0.68819444444444444</v>
      </c>
      <c r="H47" s="61">
        <v>0.70208333333333339</v>
      </c>
      <c r="I47" s="103">
        <v>0.71458333333333324</v>
      </c>
      <c r="J47" s="61">
        <v>0.7284722222222223</v>
      </c>
      <c r="K47" s="61">
        <v>0.74236111111111114</v>
      </c>
      <c r="L47" s="61">
        <v>0.75486111111111109</v>
      </c>
      <c r="M47" s="61">
        <v>0.7680555555555556</v>
      </c>
      <c r="N47" s="103">
        <v>0.78055555555555556</v>
      </c>
      <c r="O47" s="61">
        <v>0.79513888888888884</v>
      </c>
      <c r="P47" s="103">
        <v>0.80763888888888891</v>
      </c>
      <c r="Q47" s="61">
        <v>0.8222222222222223</v>
      </c>
      <c r="R47" s="61">
        <v>0.84305555555555556</v>
      </c>
      <c r="S47" s="61">
        <v>0.86388888888888893</v>
      </c>
      <c r="T47" s="61">
        <v>0.88750000000000007</v>
      </c>
      <c r="U47" s="61">
        <v>0.91180555555555554</v>
      </c>
      <c r="V47" s="61">
        <v>0.93472222222222223</v>
      </c>
      <c r="W47" s="61">
        <v>0.95833333333333337</v>
      </c>
      <c r="X47" s="61">
        <v>0</v>
      </c>
    </row>
    <row r="48" spans="2:29" x14ac:dyDescent="0.3">
      <c r="B48" s="60" t="s">
        <v>677</v>
      </c>
      <c r="C48" s="61">
        <v>0.66180555555555554</v>
      </c>
      <c r="D48" s="61">
        <v>0.67708333333333337</v>
      </c>
      <c r="E48" s="61">
        <v>0.70486111111111116</v>
      </c>
      <c r="F48" s="61">
        <v>0.74513888888888891</v>
      </c>
      <c r="G48" s="61">
        <v>0.75763888888888886</v>
      </c>
      <c r="H48" s="61">
        <v>0.79791666666666661</v>
      </c>
      <c r="I48" s="61">
        <v>0.84583333333333333</v>
      </c>
      <c r="J48" s="61">
        <v>0.89027777777777783</v>
      </c>
      <c r="K48" s="61">
        <v>0.9375</v>
      </c>
    </row>
    <row r="49" spans="2:30" x14ac:dyDescent="0.3">
      <c r="B49" s="60" t="s">
        <v>669</v>
      </c>
      <c r="C49" s="61">
        <v>0.66597222222222219</v>
      </c>
      <c r="D49" s="61">
        <v>0.68055555555555547</v>
      </c>
      <c r="E49" s="61">
        <v>0.7090277777777777</v>
      </c>
      <c r="F49" s="61">
        <v>0.74930555555555556</v>
      </c>
      <c r="G49" s="61">
        <v>0.76111111111111107</v>
      </c>
      <c r="H49" s="61">
        <v>0.80208333333333337</v>
      </c>
      <c r="I49" s="61">
        <v>0.84930555555555554</v>
      </c>
      <c r="J49" s="61">
        <v>0.89374999999999993</v>
      </c>
      <c r="K49" s="61">
        <v>0.94166666666666676</v>
      </c>
    </row>
    <row r="50" spans="2:30" x14ac:dyDescent="0.3">
      <c r="B50" s="60" t="s">
        <v>671</v>
      </c>
      <c r="C50" s="60" t="s">
        <v>695</v>
      </c>
      <c r="D50" s="61">
        <v>0.68402777777777779</v>
      </c>
      <c r="E50" s="60" t="s">
        <v>695</v>
      </c>
      <c r="F50" s="60" t="s">
        <v>695</v>
      </c>
      <c r="G50" s="61">
        <v>0.76458333333333339</v>
      </c>
      <c r="H50" s="60" t="s">
        <v>695</v>
      </c>
      <c r="I50" s="60" t="s">
        <v>695</v>
      </c>
      <c r="J50" s="60" t="s">
        <v>695</v>
      </c>
      <c r="K50" s="60" t="s">
        <v>695</v>
      </c>
    </row>
    <row r="51" spans="2:30" x14ac:dyDescent="0.3">
      <c r="B51" s="60" t="s">
        <v>670</v>
      </c>
      <c r="C51" s="61">
        <v>0.66805555555555562</v>
      </c>
      <c r="D51" s="61">
        <v>0.71111111111111114</v>
      </c>
      <c r="E51" s="61">
        <v>0.75138888888888899</v>
      </c>
      <c r="F51" s="61">
        <v>0.8041666666666667</v>
      </c>
      <c r="G51" s="61">
        <v>0.85138888888888886</v>
      </c>
      <c r="H51" s="61">
        <v>0.89583333333333337</v>
      </c>
      <c r="I51" s="61">
        <v>0.94374999999999998</v>
      </c>
    </row>
    <row r="52" spans="2:30" x14ac:dyDescent="0.3">
      <c r="B52" s="60" t="s">
        <v>681</v>
      </c>
      <c r="C52" s="60" t="s">
        <v>539</v>
      </c>
      <c r="D52" s="61">
        <v>0.67013888888888884</v>
      </c>
      <c r="E52" s="61">
        <v>0.71319444444444446</v>
      </c>
      <c r="F52" s="61">
        <v>0.75347222222222221</v>
      </c>
      <c r="G52" s="61">
        <v>0.80625000000000002</v>
      </c>
      <c r="H52" s="61">
        <v>0.8534722222222223</v>
      </c>
      <c r="I52" s="61">
        <v>0.8979166666666667</v>
      </c>
      <c r="J52" s="61">
        <v>0.9458333333333333</v>
      </c>
    </row>
    <row r="53" spans="2:30" x14ac:dyDescent="0.3">
      <c r="B53" s="60" t="s">
        <v>675</v>
      </c>
      <c r="C53" s="60" t="s">
        <v>539</v>
      </c>
      <c r="D53" s="61">
        <v>0.67152777777777783</v>
      </c>
      <c r="E53" s="61">
        <v>0.71458333333333324</v>
      </c>
      <c r="F53" s="61">
        <v>0.75486111111111109</v>
      </c>
      <c r="G53" s="61">
        <v>0.80763888888888891</v>
      </c>
      <c r="H53" s="61">
        <v>0.85486111111111107</v>
      </c>
      <c r="I53" s="61">
        <v>0.89930555555555547</v>
      </c>
      <c r="J53" s="61">
        <v>0.9472222222222223</v>
      </c>
    </row>
    <row r="54" spans="2:30" x14ac:dyDescent="0.3">
      <c r="B54" s="60" t="s">
        <v>680</v>
      </c>
      <c r="C54" s="61">
        <v>0.67499999999999993</v>
      </c>
      <c r="D54" s="61">
        <v>0.71805555555555556</v>
      </c>
      <c r="E54" s="61">
        <v>0.7583333333333333</v>
      </c>
      <c r="F54" s="61">
        <v>0.81111111111111101</v>
      </c>
      <c r="G54" s="61">
        <v>0.85833333333333339</v>
      </c>
      <c r="H54" s="61">
        <v>0.90277777777777779</v>
      </c>
      <c r="I54" s="61">
        <v>0.9506944444444444</v>
      </c>
    </row>
    <row r="55" spans="2:30" x14ac:dyDescent="0.3">
      <c r="B55" s="60" t="s">
        <v>672</v>
      </c>
      <c r="C55" s="60" t="s">
        <v>539</v>
      </c>
      <c r="D55" s="61">
        <v>0.6479166666666667</v>
      </c>
      <c r="E55" s="61">
        <v>0.69097222222222221</v>
      </c>
      <c r="F55" s="61">
        <v>0.73125000000000007</v>
      </c>
      <c r="G55" s="61">
        <v>0.77083333333333337</v>
      </c>
      <c r="H55" s="61">
        <v>0.82500000000000007</v>
      </c>
      <c r="I55" s="61">
        <v>0.8666666666666667</v>
      </c>
      <c r="J55" s="61">
        <v>0.9145833333333333</v>
      </c>
    </row>
    <row r="56" spans="2:30" x14ac:dyDescent="0.3">
      <c r="B56" s="60" t="s">
        <v>690</v>
      </c>
      <c r="C56" s="61">
        <v>0.65208333333333335</v>
      </c>
      <c r="D56" s="61">
        <v>0.69513888888888886</v>
      </c>
      <c r="E56" s="61">
        <v>0.73611111111111116</v>
      </c>
      <c r="F56" s="61">
        <v>0.77569444444444446</v>
      </c>
      <c r="G56" s="61">
        <v>0.82986111111111116</v>
      </c>
      <c r="H56" s="61">
        <v>0.87083333333333324</v>
      </c>
      <c r="I56" s="61">
        <v>0.91875000000000007</v>
      </c>
    </row>
    <row r="57" spans="2:30" x14ac:dyDescent="0.3">
      <c r="B57" s="60" t="s">
        <v>667</v>
      </c>
      <c r="C57" s="61">
        <v>0.65416666666666667</v>
      </c>
      <c r="D57" s="61">
        <v>0.6972222222222223</v>
      </c>
      <c r="E57" s="61">
        <v>0.73819444444444438</v>
      </c>
      <c r="F57" s="61">
        <v>0.77777777777777779</v>
      </c>
      <c r="G57" s="61">
        <v>0.83194444444444438</v>
      </c>
      <c r="H57" s="61">
        <v>0.87291666666666667</v>
      </c>
      <c r="I57" s="61">
        <v>0.92083333333333339</v>
      </c>
    </row>
    <row r="58" spans="2:30" x14ac:dyDescent="0.3">
      <c r="B58" s="60" t="s">
        <v>674</v>
      </c>
      <c r="C58" s="61">
        <v>0.65555555555555556</v>
      </c>
      <c r="D58" s="61">
        <v>0.69861111111111107</v>
      </c>
      <c r="E58" s="61">
        <v>0.73958333333333337</v>
      </c>
      <c r="F58" s="61">
        <v>0.77916666666666667</v>
      </c>
      <c r="G58" s="61">
        <v>0.83333333333333337</v>
      </c>
      <c r="H58" s="61">
        <v>0.87430555555555556</v>
      </c>
      <c r="I58" s="61">
        <v>0.92222222222222217</v>
      </c>
    </row>
    <row r="59" spans="2:30" x14ac:dyDescent="0.3">
      <c r="B59" s="60" t="s">
        <v>664</v>
      </c>
      <c r="C59" s="60" t="s">
        <v>539</v>
      </c>
      <c r="D59" s="61">
        <v>0.65833333333333333</v>
      </c>
      <c r="E59" s="60" t="s">
        <v>540</v>
      </c>
      <c r="F59" s="61">
        <v>0.74236111111111114</v>
      </c>
      <c r="G59" s="60" t="s">
        <v>540</v>
      </c>
      <c r="H59" s="61">
        <v>0.83611111111111114</v>
      </c>
      <c r="I59" s="60" t="s">
        <v>540</v>
      </c>
      <c r="J59" s="61">
        <v>0.92499999999999993</v>
      </c>
    </row>
    <row r="60" spans="2:30" x14ac:dyDescent="0.3">
      <c r="B60" s="60" t="s">
        <v>684</v>
      </c>
      <c r="C60" s="61">
        <v>0.66111111111111109</v>
      </c>
      <c r="D60" s="61">
        <v>0.70416666666666661</v>
      </c>
      <c r="E60" s="61">
        <v>0.74583333333333324</v>
      </c>
      <c r="F60" s="61">
        <v>0.78472222222222221</v>
      </c>
      <c r="G60" s="61">
        <v>0.83958333333333324</v>
      </c>
      <c r="H60" s="61">
        <v>0.87986111111111109</v>
      </c>
      <c r="I60" s="61">
        <v>0.92847222222222225</v>
      </c>
    </row>
    <row r="61" spans="2:30" x14ac:dyDescent="0.3">
      <c r="B61" s="60" t="s">
        <v>687</v>
      </c>
      <c r="C61" s="61">
        <v>0.70763888888888893</v>
      </c>
      <c r="D61" s="61">
        <v>0.74930555555555556</v>
      </c>
      <c r="E61" s="61">
        <v>0.78819444444444453</v>
      </c>
      <c r="F61" s="61">
        <v>0.84305555555555556</v>
      </c>
      <c r="G61" s="61">
        <v>0.8833333333333333</v>
      </c>
      <c r="H61" s="61">
        <v>0.93194444444444446</v>
      </c>
    </row>
    <row r="62" spans="2:30" x14ac:dyDescent="0.3">
      <c r="B62" s="60" t="s">
        <v>552</v>
      </c>
      <c r="C62" s="60" t="s">
        <v>540</v>
      </c>
      <c r="D62" s="60" t="s">
        <v>617</v>
      </c>
      <c r="E62" s="60" t="s">
        <v>593</v>
      </c>
      <c r="F62" s="60" t="s">
        <v>618</v>
      </c>
      <c r="G62" s="60" t="s">
        <v>619</v>
      </c>
      <c r="H62" s="60" t="s">
        <v>531</v>
      </c>
      <c r="I62" s="60" t="s">
        <v>620</v>
      </c>
      <c r="J62" s="60" t="s">
        <v>598</v>
      </c>
      <c r="K62" s="60" t="s">
        <v>621</v>
      </c>
      <c r="L62" s="60" t="s">
        <v>622</v>
      </c>
    </row>
    <row r="63" spans="2:30" x14ac:dyDescent="0.3">
      <c r="B63" s="60" t="s">
        <v>623</v>
      </c>
      <c r="C63" s="60" t="s">
        <v>624</v>
      </c>
      <c r="D63" s="60" t="s">
        <v>625</v>
      </c>
      <c r="E63" s="60" t="s">
        <v>626</v>
      </c>
      <c r="F63" s="60" t="s">
        <v>627</v>
      </c>
      <c r="G63" s="60" t="s">
        <v>591</v>
      </c>
      <c r="H63" s="60" t="s">
        <v>628</v>
      </c>
      <c r="I63" s="60" t="s">
        <v>629</v>
      </c>
      <c r="J63" s="60" t="s">
        <v>630</v>
      </c>
      <c r="K63" s="60" t="s">
        <v>631</v>
      </c>
      <c r="L63" s="60" t="s">
        <v>632</v>
      </c>
      <c r="M63" s="60" t="s">
        <v>628</v>
      </c>
      <c r="N63" s="60" t="s">
        <v>633</v>
      </c>
      <c r="O63" s="60" t="s">
        <v>634</v>
      </c>
      <c r="P63" s="60" t="s">
        <v>635</v>
      </c>
      <c r="Q63" s="60" t="s">
        <v>631</v>
      </c>
      <c r="R63" s="60" t="s">
        <v>636</v>
      </c>
    </row>
    <row r="64" spans="2:30" x14ac:dyDescent="0.3">
      <c r="B64" s="60" t="s">
        <v>637</v>
      </c>
      <c r="C64" s="60" t="s">
        <v>638</v>
      </c>
      <c r="D64" s="60" t="s">
        <v>602</v>
      </c>
      <c r="E64" s="60" t="s">
        <v>639</v>
      </c>
      <c r="F64" s="60" t="s">
        <v>640</v>
      </c>
      <c r="G64" s="60" t="s">
        <v>641</v>
      </c>
      <c r="H64" s="60" t="s">
        <v>638</v>
      </c>
      <c r="I64" s="60" t="s">
        <v>642</v>
      </c>
      <c r="J64" s="60" t="s">
        <v>643</v>
      </c>
      <c r="K64" s="60" t="s">
        <v>638</v>
      </c>
      <c r="L64" s="60" t="s">
        <v>602</v>
      </c>
      <c r="M64" s="60" t="s">
        <v>644</v>
      </c>
      <c r="N64" s="60" t="s">
        <v>645</v>
      </c>
      <c r="O64" s="60" t="s">
        <v>646</v>
      </c>
      <c r="P64" s="60">
        <v>2</v>
      </c>
      <c r="Q64" s="60" t="s">
        <v>533</v>
      </c>
      <c r="R64" s="60" t="s">
        <v>647</v>
      </c>
      <c r="S64" s="60" t="s">
        <v>648</v>
      </c>
      <c r="T64" s="60" t="s">
        <v>649</v>
      </c>
      <c r="U64" s="60" t="s">
        <v>650</v>
      </c>
      <c r="V64" s="60" t="s">
        <v>639</v>
      </c>
      <c r="W64" s="60" t="s">
        <v>595</v>
      </c>
      <c r="X64" s="60" t="s">
        <v>640</v>
      </c>
      <c r="Y64" s="60" t="s">
        <v>535</v>
      </c>
      <c r="Z64" s="60" t="s">
        <v>638</v>
      </c>
      <c r="AA64" s="60" t="s">
        <v>602</v>
      </c>
      <c r="AB64" s="60" t="s">
        <v>651</v>
      </c>
      <c r="AC64" s="60" t="s">
        <v>638</v>
      </c>
      <c r="AD64" s="60" t="s">
        <v>652</v>
      </c>
    </row>
    <row r="65" spans="2:14" x14ac:dyDescent="0.3">
      <c r="B65" s="60" t="s">
        <v>583</v>
      </c>
      <c r="C65" s="60" t="s">
        <v>540</v>
      </c>
      <c r="D65" s="60" t="s">
        <v>614</v>
      </c>
      <c r="E65" s="60" t="s">
        <v>531</v>
      </c>
      <c r="F65" s="60" t="s">
        <v>615</v>
      </c>
      <c r="G65" s="60" t="s">
        <v>616</v>
      </c>
    </row>
    <row r="66" spans="2:14" x14ac:dyDescent="0.3">
      <c r="B66" s="60" t="s">
        <v>539</v>
      </c>
    </row>
    <row r="67" spans="2:14" x14ac:dyDescent="0.3">
      <c r="B67" s="60" t="s">
        <v>691</v>
      </c>
      <c r="C67" s="60" t="s">
        <v>692</v>
      </c>
      <c r="D67" s="60" t="s">
        <v>693</v>
      </c>
      <c r="E67" s="60" t="s">
        <v>529</v>
      </c>
      <c r="F67" s="60">
        <v>15</v>
      </c>
      <c r="G67" s="60" t="s">
        <v>530</v>
      </c>
      <c r="H67" s="60" t="s">
        <v>531</v>
      </c>
      <c r="I67" s="60" t="s">
        <v>694</v>
      </c>
      <c r="J67" s="60" t="s">
        <v>533</v>
      </c>
      <c r="K67" s="60" t="s">
        <v>534</v>
      </c>
      <c r="L67" s="60" t="s">
        <v>535</v>
      </c>
      <c r="M67" s="60">
        <v>15</v>
      </c>
      <c r="N67" s="60" t="s">
        <v>536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8EA38-5E00-4B07-8E4E-716FFCB75E82}">
  <sheetPr codeName="Sheet8"/>
  <dimension ref="A1:E44"/>
  <sheetViews>
    <sheetView workbookViewId="0">
      <selection activeCell="W25" sqref="W25"/>
    </sheetView>
  </sheetViews>
  <sheetFormatPr defaultRowHeight="14.4" x14ac:dyDescent="0.3"/>
  <cols>
    <col min="1" max="1" width="11.88671875" bestFit="1" customWidth="1"/>
    <col min="2" max="2" width="17" style="62" bestFit="1" customWidth="1"/>
    <col min="3" max="3" width="13.21875" bestFit="1" customWidth="1"/>
    <col min="5" max="5" width="18" bestFit="1" customWidth="1"/>
  </cols>
  <sheetData>
    <row r="1" spans="1:5" x14ac:dyDescent="0.3">
      <c r="A1" s="122" t="s">
        <v>526</v>
      </c>
      <c r="B1" s="123" t="s">
        <v>661</v>
      </c>
      <c r="C1" s="122" t="s">
        <v>662</v>
      </c>
      <c r="E1" s="122" t="s">
        <v>762</v>
      </c>
    </row>
    <row r="2" spans="1:5" x14ac:dyDescent="0.3">
      <c r="A2" s="59" t="s">
        <v>501</v>
      </c>
      <c r="B2" s="62" t="s">
        <v>568</v>
      </c>
      <c r="C2" s="62" t="s">
        <v>663</v>
      </c>
      <c r="E2" s="48" t="s">
        <v>761</v>
      </c>
    </row>
    <row r="3" spans="1:5" x14ac:dyDescent="0.3">
      <c r="A3" s="59" t="s">
        <v>507</v>
      </c>
      <c r="B3" s="62" t="s">
        <v>574</v>
      </c>
      <c r="C3" s="62" t="s">
        <v>664</v>
      </c>
      <c r="E3" s="48" t="s">
        <v>746</v>
      </c>
    </row>
    <row r="4" spans="1:5" x14ac:dyDescent="0.3">
      <c r="A4" s="59" t="s">
        <v>499</v>
      </c>
      <c r="B4" s="62" t="s">
        <v>558</v>
      </c>
      <c r="C4" s="62" t="s">
        <v>665</v>
      </c>
      <c r="E4" s="48" t="s">
        <v>763</v>
      </c>
    </row>
    <row r="5" spans="1:5" x14ac:dyDescent="0.3">
      <c r="A5" s="59" t="s">
        <v>506</v>
      </c>
      <c r="B5" s="62" t="s">
        <v>542</v>
      </c>
      <c r="C5" s="62" t="s">
        <v>666</v>
      </c>
    </row>
    <row r="6" spans="1:5" x14ac:dyDescent="0.3">
      <c r="A6" s="59" t="s">
        <v>503</v>
      </c>
      <c r="B6" s="62" t="s">
        <v>566</v>
      </c>
      <c r="C6" s="62" t="s">
        <v>667</v>
      </c>
    </row>
    <row r="7" spans="1:5" x14ac:dyDescent="0.3">
      <c r="A7" s="59" t="s">
        <v>489</v>
      </c>
      <c r="B7" s="62" t="s">
        <v>557</v>
      </c>
      <c r="C7" s="62" t="s">
        <v>668</v>
      </c>
    </row>
    <row r="8" spans="1:5" x14ac:dyDescent="0.3">
      <c r="A8" s="59" t="s">
        <v>487</v>
      </c>
      <c r="B8" s="62" t="s">
        <v>547</v>
      </c>
      <c r="C8" s="62" t="s">
        <v>669</v>
      </c>
    </row>
    <row r="9" spans="1:5" x14ac:dyDescent="0.3">
      <c r="A9" s="59" t="s">
        <v>498</v>
      </c>
      <c r="B9" s="62" t="s">
        <v>549</v>
      </c>
      <c r="C9" s="62" t="s">
        <v>670</v>
      </c>
    </row>
    <row r="10" spans="1:5" x14ac:dyDescent="0.3">
      <c r="A10" s="59" t="s">
        <v>511</v>
      </c>
      <c r="B10" s="62" t="s">
        <v>571</v>
      </c>
      <c r="C10" s="62" t="s">
        <v>671</v>
      </c>
    </row>
    <row r="11" spans="1:5" x14ac:dyDescent="0.3">
      <c r="A11" s="59" t="s">
        <v>502</v>
      </c>
      <c r="B11" s="62" t="s">
        <v>562</v>
      </c>
      <c r="C11" s="62" t="s">
        <v>672</v>
      </c>
    </row>
    <row r="12" spans="1:5" x14ac:dyDescent="0.3">
      <c r="A12" s="59" t="s">
        <v>509</v>
      </c>
      <c r="B12" s="62" t="s">
        <v>579</v>
      </c>
      <c r="C12" s="62" t="s">
        <v>673</v>
      </c>
    </row>
    <row r="13" spans="1:5" x14ac:dyDescent="0.3">
      <c r="A13" s="59" t="s">
        <v>490</v>
      </c>
      <c r="B13" s="62" t="s">
        <v>545</v>
      </c>
      <c r="C13" s="62" t="s">
        <v>674</v>
      </c>
    </row>
    <row r="14" spans="1:5" x14ac:dyDescent="0.3">
      <c r="A14" s="59" t="s">
        <v>492</v>
      </c>
      <c r="B14" s="62" t="s">
        <v>543</v>
      </c>
      <c r="C14" s="62" t="s">
        <v>675</v>
      </c>
    </row>
    <row r="15" spans="1:5" x14ac:dyDescent="0.3">
      <c r="A15" s="59" t="s">
        <v>500</v>
      </c>
      <c r="B15" s="62" t="s">
        <v>609</v>
      </c>
      <c r="C15" s="62" t="s">
        <v>676</v>
      </c>
    </row>
    <row r="16" spans="1:5" x14ac:dyDescent="0.3">
      <c r="A16" s="59" t="s">
        <v>505</v>
      </c>
      <c r="B16" s="62" t="s">
        <v>575</v>
      </c>
      <c r="C16" s="62" t="s">
        <v>677</v>
      </c>
    </row>
    <row r="17" spans="1:3" x14ac:dyDescent="0.3">
      <c r="A17" s="59" t="s">
        <v>508</v>
      </c>
      <c r="B17" s="62" t="s">
        <v>555</v>
      </c>
      <c r="C17" s="62" t="s">
        <v>678</v>
      </c>
    </row>
    <row r="18" spans="1:3" x14ac:dyDescent="0.3">
      <c r="A18" s="59" t="s">
        <v>493</v>
      </c>
      <c r="B18" s="62" t="s">
        <v>576</v>
      </c>
      <c r="C18" s="62" t="s">
        <v>679</v>
      </c>
    </row>
    <row r="19" spans="1:3" x14ac:dyDescent="0.3">
      <c r="A19" s="59" t="s">
        <v>488</v>
      </c>
      <c r="B19" s="62" t="s">
        <v>570</v>
      </c>
      <c r="C19" s="62" t="s">
        <v>680</v>
      </c>
    </row>
    <row r="20" spans="1:3" x14ac:dyDescent="0.3">
      <c r="A20" s="59" t="s">
        <v>513</v>
      </c>
      <c r="B20" s="62" t="s">
        <v>565</v>
      </c>
      <c r="C20" s="62" t="s">
        <v>681</v>
      </c>
    </row>
    <row r="21" spans="1:3" x14ac:dyDescent="0.3">
      <c r="A21" s="59" t="s">
        <v>512</v>
      </c>
      <c r="B21" s="62" t="s">
        <v>569</v>
      </c>
      <c r="C21" s="62" t="s">
        <v>682</v>
      </c>
    </row>
    <row r="22" spans="1:3" x14ac:dyDescent="0.3">
      <c r="A22" s="59" t="s">
        <v>497</v>
      </c>
      <c r="B22" s="62" t="s">
        <v>537</v>
      </c>
      <c r="C22" s="62" t="s">
        <v>683</v>
      </c>
    </row>
    <row r="23" spans="1:3" x14ac:dyDescent="0.3">
      <c r="A23" s="59" t="s">
        <v>510</v>
      </c>
      <c r="B23" s="62" t="s">
        <v>567</v>
      </c>
      <c r="C23" s="62" t="s">
        <v>684</v>
      </c>
    </row>
    <row r="24" spans="1:3" x14ac:dyDescent="0.3">
      <c r="A24" s="59" t="s">
        <v>504</v>
      </c>
      <c r="B24" s="62" t="s">
        <v>541</v>
      </c>
      <c r="C24" s="62" t="s">
        <v>685</v>
      </c>
    </row>
    <row r="25" spans="1:3" x14ac:dyDescent="0.3">
      <c r="A25" s="59" t="s">
        <v>495</v>
      </c>
      <c r="B25" s="62" t="s">
        <v>572</v>
      </c>
      <c r="C25" s="62" t="s">
        <v>580</v>
      </c>
    </row>
    <row r="26" spans="1:3" x14ac:dyDescent="0.3">
      <c r="A26" s="59" t="s">
        <v>491</v>
      </c>
      <c r="B26" s="62" t="s">
        <v>559</v>
      </c>
      <c r="C26" s="62" t="s">
        <v>686</v>
      </c>
    </row>
    <row r="27" spans="1:3" x14ac:dyDescent="0.3">
      <c r="B27" s="62" t="s">
        <v>544</v>
      </c>
      <c r="C27" s="62" t="s">
        <v>687</v>
      </c>
    </row>
    <row r="28" spans="1:3" x14ac:dyDescent="0.3">
      <c r="B28" s="62" t="s">
        <v>573</v>
      </c>
      <c r="C28" s="62" t="s">
        <v>688</v>
      </c>
    </row>
    <row r="29" spans="1:3" x14ac:dyDescent="0.3">
      <c r="B29" s="62" t="s">
        <v>561</v>
      </c>
      <c r="C29" s="62" t="s">
        <v>689</v>
      </c>
    </row>
    <row r="30" spans="1:3" x14ac:dyDescent="0.3">
      <c r="B30" s="62" t="s">
        <v>548</v>
      </c>
      <c r="C30" s="62" t="s">
        <v>690</v>
      </c>
    </row>
    <row r="31" spans="1:3" x14ac:dyDescent="0.3">
      <c r="B31" s="62" t="s">
        <v>550</v>
      </c>
    </row>
    <row r="32" spans="1:3" x14ac:dyDescent="0.3">
      <c r="B32" s="62" t="s">
        <v>553</v>
      </c>
    </row>
    <row r="33" spans="2:2" x14ac:dyDescent="0.3">
      <c r="B33" s="62" t="s">
        <v>546</v>
      </c>
    </row>
    <row r="34" spans="2:2" x14ac:dyDescent="0.3">
      <c r="B34" s="62" t="s">
        <v>556</v>
      </c>
    </row>
    <row r="35" spans="2:2" x14ac:dyDescent="0.3">
      <c r="B35" s="62" t="s">
        <v>580</v>
      </c>
    </row>
    <row r="36" spans="2:2" x14ac:dyDescent="0.3">
      <c r="B36" s="62" t="s">
        <v>563</v>
      </c>
    </row>
    <row r="37" spans="2:2" x14ac:dyDescent="0.3">
      <c r="B37" s="62" t="s">
        <v>564</v>
      </c>
    </row>
    <row r="38" spans="2:2" x14ac:dyDescent="0.3">
      <c r="B38" s="62" t="s">
        <v>554</v>
      </c>
    </row>
    <row r="39" spans="2:2" x14ac:dyDescent="0.3">
      <c r="B39" s="62" t="s">
        <v>538</v>
      </c>
    </row>
    <row r="40" spans="2:2" x14ac:dyDescent="0.3">
      <c r="B40" s="62" t="s">
        <v>577</v>
      </c>
    </row>
    <row r="41" spans="2:2" x14ac:dyDescent="0.3">
      <c r="B41" s="62" t="s">
        <v>560</v>
      </c>
    </row>
    <row r="42" spans="2:2" x14ac:dyDescent="0.3">
      <c r="B42" s="62" t="s">
        <v>608</v>
      </c>
    </row>
    <row r="43" spans="2:2" x14ac:dyDescent="0.3">
      <c r="B43" s="62" t="s">
        <v>607</v>
      </c>
    </row>
    <row r="44" spans="2:2" x14ac:dyDescent="0.3">
      <c r="B44" s="62" t="s">
        <v>578</v>
      </c>
    </row>
  </sheetData>
  <sheetProtection algorithmName="SHA-512" hashValue="rtGmMac88SjizCgzb9kYmLaOupyVyB15PbK4zCkKZ4DJrNsX6y+9MQhsgg1mCyxcTK6wJ5vCfU+I68fYmAunRA==" saltValue="mXrD2PeTfcD4j3NStXMX3w==" spinCount="100000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Edelasuund</vt:lpstr>
      <vt:lpstr>Edelasuund2</vt:lpstr>
      <vt:lpstr>Idasuund</vt:lpstr>
      <vt:lpstr>Idasuund2</vt:lpstr>
      <vt:lpstr>Läänesuund</vt:lpstr>
      <vt:lpstr>Läänesuund2</vt:lpstr>
      <vt:lpstr>Stations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Mykhailo Yaroshenko</dc:creator>
  <cp:lastModifiedBy>Mykhailo Yaroshenko</cp:lastModifiedBy>
  <cp:lastPrinted>2021-04-26T15:33:51Z</cp:lastPrinted>
  <dcterms:created xsi:type="dcterms:W3CDTF">2021-03-13T10:15:54Z</dcterms:created>
  <dcterms:modified xsi:type="dcterms:W3CDTF">2021-06-07T09:35:04Z</dcterms:modified>
</cp:coreProperties>
</file>